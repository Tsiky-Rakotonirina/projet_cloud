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Todo" sheetId="2" r:id="rId6"/>
    <sheet state="visible" name="Details" sheetId="3" r:id="rId7"/>
    <sheet state="visible" name="Recapitulation" sheetId="4" r:id="rId8"/>
    <sheet state="visible" name="Avancement" sheetId="5" r:id="rId9"/>
  </sheets>
  <definedNames>
    <definedName hidden="1" localSheetId="1" name="_xlnm._FilterDatabase">Todo!$A$1:$J$104</definedName>
  </definedNames>
  <calcPr/>
</workbook>
</file>

<file path=xl/sharedStrings.xml><?xml version="1.0" encoding="utf-8"?>
<sst xmlns="http://schemas.openxmlformats.org/spreadsheetml/2006/main" count="719" uniqueCount="185">
  <si>
    <t>ETU</t>
  </si>
  <si>
    <t>Prenom</t>
  </si>
  <si>
    <t>ETU003256</t>
  </si>
  <si>
    <t>Fetraniaina</t>
  </si>
  <si>
    <t>ETU003287</t>
  </si>
  <si>
    <t>Kasaina</t>
  </si>
  <si>
    <t>ETU003315</t>
  </si>
  <si>
    <t>Tsiky</t>
  </si>
  <si>
    <t>ETU003326</t>
  </si>
  <si>
    <t>Blessed</t>
  </si>
  <si>
    <t>Catégorie</t>
  </si>
  <si>
    <t>Module</t>
  </si>
  <si>
    <t>Pages</t>
  </si>
  <si>
    <t>Taches</t>
  </si>
  <si>
    <t>Type</t>
  </si>
  <si>
    <t>Qui</t>
  </si>
  <si>
    <t>Estimation</t>
  </si>
  <si>
    <t>Temps passes</t>
  </si>
  <si>
    <t>Reste a faire</t>
  </si>
  <si>
    <t>Avancement</t>
  </si>
  <si>
    <t>API, Mobile, Web</t>
  </si>
  <si>
    <t>Tiers</t>
  </si>
  <si>
    <t>No page</t>
  </si>
  <si>
    <t>Structure du projet</t>
  </si>
  <si>
    <t>Tier</t>
  </si>
  <si>
    <t>creation du repository</t>
  </si>
  <si>
    <t>API</t>
  </si>
  <si>
    <t>initialisation POSTGIS</t>
  </si>
  <si>
    <t>Base de donnee</t>
  </si>
  <si>
    <t>Login</t>
  </si>
  <si>
    <t>Admin/Login</t>
  </si>
  <si>
    <t>verification des identifiants</t>
  </si>
  <si>
    <t>Metier</t>
  </si>
  <si>
    <t>Generer le token JWT</t>
  </si>
  <si>
    <t>Admin/Deblocage</t>
  </si>
  <si>
    <t>deblocage de l'utilisateur bloque par le manager</t>
  </si>
  <si>
    <t>Duree Vie Session</t>
  </si>
  <si>
    <t>creation  du middleware pour verifier l'expiration du token a chaque requette</t>
  </si>
  <si>
    <t>Web</t>
  </si>
  <si>
    <t>Global</t>
  </si>
  <si>
    <t>implementation du base service d'appel d'API</t>
  </si>
  <si>
    <t>Integration</t>
  </si>
  <si>
    <t>page login et formulaire</t>
  </si>
  <si>
    <t>Affichage</t>
  </si>
  <si>
    <t>Tableau Recapitualtion</t>
  </si>
  <si>
    <t>Web/Recapilation</t>
  </si>
  <si>
    <t>popup d'affichage de la racapitulation</t>
  </si>
  <si>
    <t>Update Infos User</t>
  </si>
  <si>
    <t>Web/User</t>
  </si>
  <si>
    <t xml:space="preserve">Implementer l’appel API de mise a jour utilisateur </t>
  </si>
  <si>
    <t>Web, Mobile</t>
  </si>
  <si>
    <t>Synchronisation</t>
  </si>
  <si>
    <t>bouton : synchroniser</t>
  </si>
  <si>
    <t>Web/Synchronisation</t>
  </si>
  <si>
    <t>Fonction get_signalement_firebase_and insert_base()  depuis api firebase</t>
  </si>
  <si>
    <t>Appele fonction get_signalement_firebase_and_insert_base et envoi_info_signalement_to_firebase</t>
  </si>
  <si>
    <t>Signalement</t>
  </si>
  <si>
    <t>Web/Signalement</t>
  </si>
  <si>
    <t>Formulaire de ajout de infos de signalement</t>
  </si>
  <si>
    <t>Fonction : create_infos_signalement</t>
  </si>
  <si>
    <t>Mobile</t>
  </si>
  <si>
    <t>Filtre</t>
  </si>
  <si>
    <t>Mobile/Signalement</t>
  </si>
  <si>
    <t>Formulaire de filtre dropdown sur choix de signalement</t>
  </si>
  <si>
    <t>Fonction : liste_signalement(id_utilisateur)</t>
  </si>
  <si>
    <t>Appele fonction liste_signalement</t>
  </si>
  <si>
    <t>Appele fonction ajouter_signalement</t>
  </si>
  <si>
    <t>test postman</t>
  </si>
  <si>
    <t>Bouton modifier statut avec dropdown des statuts par signalement</t>
  </si>
  <si>
    <t>Logout</t>
  </si>
  <si>
    <t>gestion de token pour logout</t>
  </si>
  <si>
    <t>Inscription</t>
  </si>
  <si>
    <t>Admin/Signup</t>
  </si>
  <si>
    <t>Validation des donnees</t>
  </si>
  <si>
    <t>generation de token et login</t>
  </si>
  <si>
    <t>page signin et formulaire</t>
  </si>
  <si>
    <t>Suivis probleme</t>
  </si>
  <si>
    <t>Admin/Problemes</t>
  </si>
  <si>
    <t>Fonction infos_probleme(id_probleme)</t>
  </si>
  <si>
    <t>Appele fonction info_probleme a l'event survol</t>
  </si>
  <si>
    <t>Fonction nombres_points()</t>
  </si>
  <si>
    <t>Fonction avancement()</t>
  </si>
  <si>
    <t>Fonction total_budget()</t>
  </si>
  <si>
    <t>Fonction total_surface()</t>
  </si>
  <si>
    <t>Appel fonction</t>
  </si>
  <si>
    <t>Fonction : update_statut_signalement</t>
  </si>
  <si>
    <t>Appelle fonction update_statut_signalement</t>
  </si>
  <si>
    <t>Bouton ajouter info par signalement</t>
  </si>
  <si>
    <t>Fonction update_info_signalement</t>
  </si>
  <si>
    <t>Appele fonction update_info_signalement</t>
  </si>
  <si>
    <t>Fiche+formulaire update de infos signalement</t>
  </si>
  <si>
    <t>Mobile/Carte</t>
  </si>
  <si>
    <t>Bouton signaler a l event clic sur carte</t>
  </si>
  <si>
    <t>endpoint details probleme</t>
  </si>
  <si>
    <t>MCD</t>
  </si>
  <si>
    <t xml:space="preserve">definir la duree de validite de session avec valeur par defaut </t>
  </si>
  <si>
    <t>associe un token avec une date d'expiration</t>
  </si>
  <si>
    <t>endpoint d'envois des datas du map (pour le survol)</t>
  </si>
  <si>
    <t>show carte offline</t>
  </si>
  <si>
    <t>liste problèmes sur carte à survoller</t>
  </si>
  <si>
    <t>show infos problème</t>
  </si>
  <si>
    <t>Web/Recapitulation</t>
  </si>
  <si>
    <t>tableau de récapitulation</t>
  </si>
  <si>
    <t>appel API carte</t>
  </si>
  <si>
    <t>creation de tables</t>
  </si>
  <si>
    <t>Mobile/Synchronisation</t>
  </si>
  <si>
    <t>create de table: signalement, historique_signalement</t>
  </si>
  <si>
    <t>liste signalement</t>
  </si>
  <si>
    <t>fonction : liste_signalement</t>
  </si>
  <si>
    <t>Appelle fonction liste_signalement</t>
  </si>
  <si>
    <t>Appele fonction create_infos_signalement</t>
  </si>
  <si>
    <t>Bouton modifier info signalement hors statut</t>
  </si>
  <si>
    <t>Fonction : ajouter_signalement</t>
  </si>
  <si>
    <t>User/Login</t>
  </si>
  <si>
    <t>gestion du tentative de connexion</t>
  </si>
  <si>
    <t>design + CSS</t>
  </si>
  <si>
    <t>component de filtre reutilisable</t>
  </si>
  <si>
    <t>Verifier l’autorisation de modification</t>
  </si>
  <si>
    <t>Valider les donnees utilisateur</t>
  </si>
  <si>
    <t>Mettre a jour les informations utilisateur</t>
  </si>
  <si>
    <t>Creer le formulaire pre-remplie (nom, email, etc.)</t>
  </si>
  <si>
    <t>Afficher les messages d'erreurs et de succes</t>
  </si>
  <si>
    <t xml:space="preserve">Gestion des erreurs et des messages </t>
  </si>
  <si>
    <t>Installer un serveur de carte Offline sur Docker</t>
  </si>
  <si>
    <t>Telecharger la ville d’Antananarivo avec les rues</t>
  </si>
  <si>
    <t>Fonction : envoi_infos_signalement_to_firebase</t>
  </si>
  <si>
    <t>Deploiement mobile</t>
  </si>
  <si>
    <t>Notifications</t>
  </si>
  <si>
    <t>Adapter MCD avec nouvelles fonctionnalites : signalement_images</t>
  </si>
  <si>
    <t>Activer message clouding firebase</t>
  </si>
  <si>
    <t>Ajouter dans configuration l'API  de notifications</t>
  </si>
  <si>
    <t xml:space="preserve">Gerer les permissions </t>
  </si>
  <si>
    <t>Appeler l'API dans l'application mobile</t>
  </si>
  <si>
    <t>Activer firebase storage</t>
  </si>
  <si>
    <t>Ajouter prise de photo dans l'ajout de signalement</t>
  </si>
  <si>
    <t xml:space="preserve">Uploader l image et appeler l API </t>
  </si>
  <si>
    <t>Ajouter bouton Avancer et colonne avancement dans liste signalement</t>
  </si>
  <si>
    <t>Creer fonction update avancement de probleme</t>
  </si>
  <si>
    <t>Ajouter bouton voir photo dans liste signalements</t>
  </si>
  <si>
    <t>Creer fonction get_image_signalements</t>
  </si>
  <si>
    <t>Appeler fonction get_image_signlement au clic de bouton</t>
  </si>
  <si>
    <t>Afficher photo dans un style caroussel</t>
  </si>
  <si>
    <t>API, Mobile</t>
  </si>
  <si>
    <t>Creer API get /photos/signalement/1</t>
  </si>
  <si>
    <t>Creer icone voir photo sur details signalements dans la carte</t>
  </si>
  <si>
    <t>Appeler API de get photo par signalement</t>
  </si>
  <si>
    <t>Web/Carte</t>
  </si>
  <si>
    <t>Creer fonction get_photo_signalement</t>
  </si>
  <si>
    <t>Afficher historique probleme au survol</t>
  </si>
  <si>
    <t>Creer fonction get_probleme_historique</t>
  </si>
  <si>
    <t>Appeler fonction get_probleme_historique</t>
  </si>
  <si>
    <t>Statistiques</t>
  </si>
  <si>
    <t>Web/Statistiques</t>
  </si>
  <si>
    <t>Creer fonction get_statistiques</t>
  </si>
  <si>
    <t>Creer tableau statitiques : temps moyen de traitement signalement, probleme, upgrade entre problemes</t>
  </si>
  <si>
    <t>Appeler fonction get_statistiques</t>
  </si>
  <si>
    <t>Synchroniser les photos envoyes</t>
  </si>
  <si>
    <t>Design general devenu clair</t>
  </si>
  <si>
    <t>Web, API</t>
  </si>
  <si>
    <t>Donnees de test livrables</t>
  </si>
  <si>
    <t>Upload image non firestore : bit32base</t>
  </si>
  <si>
    <t>Ajout de colonne dans table Probleme</t>
  </si>
  <si>
    <t>AJout input type reparation dans mettre inos de signalements et afficher dans tableau</t>
  </si>
  <si>
    <t>Creer fonction get_budget(surface, niveau, prixm2)</t>
  </si>
  <si>
    <t>Generer .apk</t>
  </si>
  <si>
    <t>Livrer dernier doc technique</t>
  </si>
  <si>
    <t>AJouter niveau dans les cartes</t>
  </si>
  <si>
    <t>Todo Id</t>
  </si>
  <si>
    <t>Total</t>
  </si>
  <si>
    <t>26/1</t>
  </si>
  <si>
    <t>27/1</t>
  </si>
  <si>
    <t>28/1</t>
  </si>
  <si>
    <t>2/2</t>
  </si>
  <si>
    <t>3/2</t>
  </si>
  <si>
    <t>6/2</t>
  </si>
  <si>
    <t>7/2</t>
  </si>
  <si>
    <t>9/2</t>
  </si>
  <si>
    <t>10/2</t>
  </si>
  <si>
    <t>e</t>
  </si>
  <si>
    <t>Temps passer</t>
  </si>
  <si>
    <t>Estimation Total</t>
  </si>
  <si>
    <t>Temps passer Total</t>
  </si>
  <si>
    <t>Reste a faire Total</t>
  </si>
  <si>
    <t>Depassement</t>
  </si>
  <si>
    <t>heure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</si>
</sst>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1.0"/>
      <color theme="1"/>
      <name val="Arial"/>
    </font>
    <font>
      <b/>
      <sz val="11.0"/>
      <color theme="1"/>
      <name val="Liberation Serif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rgb="FF434343"/>
      <name val="Roboto"/>
    </font>
    <font>
      <strike/>
      <sz val="11.0"/>
      <color theme="1"/>
      <name val="Arial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/>
    </xf>
    <xf borderId="0" fillId="2" fontId="3" numFmtId="49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7" numFmtId="0" xfId="0" applyFont="1"/>
    <xf borderId="0" fillId="3" fontId="8" numFmtId="0" xfId="0" applyAlignment="1" applyFill="1" applyFont="1">
      <alignment readingOrder="0"/>
    </xf>
    <xf borderId="0" fillId="3" fontId="7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Font="1"/>
    <xf borderId="0" fillId="0" fontId="11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right" shrinkToFit="0" vertical="bottom" wrapText="0"/>
    </xf>
    <xf borderId="0" fillId="0" fontId="11" numFmtId="10" xfId="0" applyAlignment="1" applyFont="1" applyNumberFormat="1">
      <alignment horizontal="right" shrinkToFit="0" vertical="bottom" wrapText="0"/>
    </xf>
    <xf borderId="0" fillId="0" fontId="11" numFmtId="9" xfId="0" applyAlignment="1" applyFont="1" applyNumberFormat="1">
      <alignment horizontal="right" shrinkToFit="0" vertical="bottom" wrapText="0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Group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apitul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ance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6" displayName="Groupe" name="Groupe" id="1">
  <tableColumns count="2">
    <tableColumn name="ETU" id="1"/>
    <tableColumn name="Prenom" id="2"/>
  </tableColumns>
  <tableStyleInfo name="Groupe-style" showColumnStripes="0" showFirstColumn="1" showLastColumn="1" showRowStripes="1"/>
</table>
</file>

<file path=xl/tables/table2.xml><?xml version="1.0" encoding="utf-8"?>
<table xmlns="http://schemas.openxmlformats.org/spreadsheetml/2006/main" ref="A1:K1000" displayName="Details" name="Details" id="2">
  <tableColumns count="11">
    <tableColumn name="Todo Id" id="1"/>
    <tableColumn name="Total" id="2"/>
    <tableColumn name="26/1" id="3"/>
    <tableColumn name="27/1" id="4"/>
    <tableColumn name="28/1" id="5"/>
    <tableColumn name="2/2" id="6"/>
    <tableColumn name="3/2" id="7"/>
    <tableColumn name="6/2" id="8"/>
    <tableColumn name="7/2" id="9"/>
    <tableColumn name="9/2" id="10"/>
    <tableColumn name="10/2" id="11"/>
  </tableColumns>
  <tableStyleInfo name="Details-style" showColumnStripes="0" showFirstColumn="1" showLastColumn="1" showRowStripes="1"/>
</table>
</file>

<file path=xl/tables/table3.xml><?xml version="1.0" encoding="utf-8"?>
<table xmlns="http://schemas.openxmlformats.org/spreadsheetml/2006/main" ref="A1:D5" displayName="Recapitulation" name="Recapitulation" id="3">
  <tableColumns count="4">
    <tableColumn name="Qui" id="1"/>
    <tableColumn name="Estimation" id="2"/>
    <tableColumn name="Temps passer" id="3"/>
    <tableColumn name="Avancement" id="4"/>
  </tableColumns>
  <tableStyleInfo name="Recapitulation-style" showColumnStripes="0" showFirstColumn="1" showLastColumn="1" showRowStripes="1"/>
</table>
</file>

<file path=xl/tables/table4.xml><?xml version="1.0" encoding="utf-8"?>
<table xmlns="http://schemas.openxmlformats.org/spreadsheetml/2006/main" ref="A1:E2" displayName="Avancement" name="Avancement" id="4">
  <tableColumns count="5">
    <tableColumn name="Estimation Total" id="1"/>
    <tableColumn name="Temps passer Total" id="2"/>
    <tableColumn name="Reste a faire Total" id="3"/>
    <tableColumn name="Avancement" id="4"/>
    <tableColumn name="Depassement" id="5"/>
  </tableColumns>
  <tableStyleInfo name="Avanc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1.63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7</v>
      </c>
    </row>
    <row r="5" ht="15.75" customHeight="1">
      <c r="A5" s="2" t="s">
        <v>8</v>
      </c>
      <c r="B5" s="2" t="s">
        <v>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63"/>
    <col customWidth="1" min="2" max="2" width="24.63"/>
    <col customWidth="1" min="3" max="3" width="23.5"/>
    <col customWidth="1" min="4" max="4" width="82.0"/>
    <col customWidth="1" min="5" max="5" width="20.63"/>
    <col customWidth="1" min="6" max="6" width="17.5"/>
    <col customWidth="1" min="7" max="7" width="13.63"/>
    <col customWidth="1" min="8" max="8" width="17.38"/>
    <col customWidth="1" min="9" max="10" width="14.75"/>
  </cols>
  <sheetData>
    <row r="1" ht="15.75" customHeight="1">
      <c r="A1" s="4" t="s">
        <v>10</v>
      </c>
      <c r="B1" s="4" t="s">
        <v>11</v>
      </c>
      <c r="C1" s="5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7" t="s">
        <v>17</v>
      </c>
      <c r="I1" s="8" t="s">
        <v>18</v>
      </c>
      <c r="J1" s="8" t="s">
        <v>19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ht="15.75" customHeight="1">
      <c r="A2" s="10" t="s">
        <v>20</v>
      </c>
      <c r="B2" s="10" t="s">
        <v>21</v>
      </c>
      <c r="C2" s="10" t="s">
        <v>22</v>
      </c>
      <c r="D2" s="11" t="s">
        <v>23</v>
      </c>
      <c r="E2" s="12" t="s">
        <v>24</v>
      </c>
      <c r="F2" s="13" t="s">
        <v>2</v>
      </c>
      <c r="G2" s="14">
        <v>15.0</v>
      </c>
      <c r="H2" s="15">
        <f>Details!B2</f>
        <v>15</v>
      </c>
      <c r="I2" s="16">
        <v>0.0</v>
      </c>
      <c r="J2" s="16">
        <f t="shared" ref="J2:J113" si="1">(H2/(H2+I2))*100</f>
        <v>100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15.75" customHeight="1">
      <c r="A3" s="10" t="s">
        <v>20</v>
      </c>
      <c r="B3" s="10" t="s">
        <v>21</v>
      </c>
      <c r="C3" s="12" t="s">
        <v>22</v>
      </c>
      <c r="D3" s="11" t="s">
        <v>25</v>
      </c>
      <c r="E3" s="10" t="s">
        <v>24</v>
      </c>
      <c r="F3" s="13" t="s">
        <v>2</v>
      </c>
      <c r="G3" s="15">
        <v>8.0</v>
      </c>
      <c r="H3" s="15">
        <f>Details!B3</f>
        <v>10</v>
      </c>
      <c r="I3" s="16">
        <v>0.0</v>
      </c>
      <c r="J3" s="16">
        <f t="shared" si="1"/>
        <v>100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15.75" customHeight="1">
      <c r="A4" s="13" t="s">
        <v>26</v>
      </c>
      <c r="B4" s="10" t="s">
        <v>21</v>
      </c>
      <c r="C4" s="12" t="s">
        <v>22</v>
      </c>
      <c r="D4" s="11" t="s">
        <v>27</v>
      </c>
      <c r="E4" s="12" t="s">
        <v>28</v>
      </c>
      <c r="F4" s="13" t="s">
        <v>2</v>
      </c>
      <c r="G4" s="15">
        <v>10.0</v>
      </c>
      <c r="H4" s="15">
        <f>Details!B4</f>
        <v>15</v>
      </c>
      <c r="I4" s="16">
        <v>0.0</v>
      </c>
      <c r="J4" s="16">
        <f t="shared" si="1"/>
        <v>100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15.75" customHeight="1">
      <c r="A5" s="10" t="s">
        <v>26</v>
      </c>
      <c r="B5" s="10" t="s">
        <v>29</v>
      </c>
      <c r="C5" s="12" t="s">
        <v>30</v>
      </c>
      <c r="D5" s="11" t="s">
        <v>31</v>
      </c>
      <c r="E5" s="12" t="s">
        <v>32</v>
      </c>
      <c r="F5" s="13" t="s">
        <v>2</v>
      </c>
      <c r="G5" s="15">
        <v>9.0</v>
      </c>
      <c r="H5" s="15">
        <f>Details!B5</f>
        <v>15</v>
      </c>
      <c r="I5" s="16">
        <v>0.0</v>
      </c>
      <c r="J5" s="16">
        <f t="shared" si="1"/>
        <v>100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15.75" customHeight="1">
      <c r="A6" s="10" t="s">
        <v>26</v>
      </c>
      <c r="B6" s="10" t="s">
        <v>29</v>
      </c>
      <c r="C6" s="12" t="s">
        <v>30</v>
      </c>
      <c r="D6" s="11" t="s">
        <v>33</v>
      </c>
      <c r="E6" s="12" t="s">
        <v>32</v>
      </c>
      <c r="F6" s="13" t="s">
        <v>2</v>
      </c>
      <c r="G6" s="15">
        <v>7.0</v>
      </c>
      <c r="H6" s="15">
        <f>Details!B6</f>
        <v>12</v>
      </c>
      <c r="I6" s="16">
        <v>0.0</v>
      </c>
      <c r="J6" s="16">
        <f t="shared" si="1"/>
        <v>100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15.75" customHeight="1">
      <c r="A7" s="13" t="s">
        <v>26</v>
      </c>
      <c r="B7" s="10" t="s">
        <v>29</v>
      </c>
      <c r="C7" s="12" t="s">
        <v>34</v>
      </c>
      <c r="D7" s="11" t="s">
        <v>35</v>
      </c>
      <c r="E7" s="12" t="s">
        <v>32</v>
      </c>
      <c r="F7" s="13" t="s">
        <v>2</v>
      </c>
      <c r="G7" s="15">
        <v>15.0</v>
      </c>
      <c r="H7" s="15">
        <f>Details!B7</f>
        <v>10</v>
      </c>
      <c r="I7" s="16">
        <v>0.0</v>
      </c>
      <c r="J7" s="16">
        <f t="shared" si="1"/>
        <v>100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15.75" customHeight="1">
      <c r="A8" s="13" t="s">
        <v>26</v>
      </c>
      <c r="B8" s="12" t="s">
        <v>36</v>
      </c>
      <c r="C8" s="12" t="s">
        <v>30</v>
      </c>
      <c r="D8" s="11" t="s">
        <v>37</v>
      </c>
      <c r="E8" s="12" t="s">
        <v>32</v>
      </c>
      <c r="F8" s="17" t="s">
        <v>2</v>
      </c>
      <c r="G8" s="18">
        <v>16.0</v>
      </c>
      <c r="H8" s="15">
        <f>Details!B8</f>
        <v>10</v>
      </c>
      <c r="I8" s="16">
        <v>0.0</v>
      </c>
      <c r="J8" s="16">
        <f t="shared" si="1"/>
        <v>100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15.75" customHeight="1">
      <c r="A9" s="13" t="s">
        <v>38</v>
      </c>
      <c r="B9" s="12" t="s">
        <v>21</v>
      </c>
      <c r="C9" s="12" t="s">
        <v>39</v>
      </c>
      <c r="D9" s="11" t="s">
        <v>40</v>
      </c>
      <c r="E9" s="12" t="s">
        <v>41</v>
      </c>
      <c r="F9" s="17" t="s">
        <v>2</v>
      </c>
      <c r="G9" s="18">
        <v>8.0</v>
      </c>
      <c r="H9" s="15">
        <f>Details!B9</f>
        <v>15</v>
      </c>
      <c r="I9" s="16">
        <v>0.0</v>
      </c>
      <c r="J9" s="16">
        <f t="shared" si="1"/>
        <v>100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15.75" customHeight="1">
      <c r="A10" s="13" t="s">
        <v>38</v>
      </c>
      <c r="B10" s="12" t="s">
        <v>29</v>
      </c>
      <c r="C10" s="12" t="s">
        <v>30</v>
      </c>
      <c r="D10" s="11" t="s">
        <v>42</v>
      </c>
      <c r="E10" s="12" t="s">
        <v>43</v>
      </c>
      <c r="F10" s="17" t="s">
        <v>2</v>
      </c>
      <c r="G10" s="18">
        <v>5.0</v>
      </c>
      <c r="H10" s="15">
        <f>Details!B10</f>
        <v>15</v>
      </c>
      <c r="I10" s="16">
        <v>0.0</v>
      </c>
      <c r="J10" s="16">
        <f t="shared" si="1"/>
        <v>100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5.75" customHeight="1">
      <c r="A11" s="13" t="s">
        <v>38</v>
      </c>
      <c r="B11" s="12" t="s">
        <v>44</v>
      </c>
      <c r="C11" s="12" t="s">
        <v>45</v>
      </c>
      <c r="D11" s="11" t="s">
        <v>46</v>
      </c>
      <c r="E11" s="12" t="s">
        <v>43</v>
      </c>
      <c r="F11" s="17" t="s">
        <v>2</v>
      </c>
      <c r="G11" s="18">
        <v>15.0</v>
      </c>
      <c r="H11" s="15">
        <f>Details!B11</f>
        <v>10</v>
      </c>
      <c r="I11" s="16">
        <v>0.0</v>
      </c>
      <c r="J11" s="16">
        <f t="shared" si="1"/>
        <v>100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15.75" customHeight="1">
      <c r="A12" s="10" t="s">
        <v>38</v>
      </c>
      <c r="B12" s="12" t="s">
        <v>47</v>
      </c>
      <c r="C12" s="12" t="s">
        <v>48</v>
      </c>
      <c r="D12" s="11" t="s">
        <v>49</v>
      </c>
      <c r="E12" s="12" t="s">
        <v>41</v>
      </c>
      <c r="F12" s="17" t="s">
        <v>2</v>
      </c>
      <c r="G12" s="18">
        <v>10.0</v>
      </c>
      <c r="H12" s="15">
        <f>Details!B12</f>
        <v>11</v>
      </c>
      <c r="I12" s="16">
        <v>0.0</v>
      </c>
      <c r="J12" s="16">
        <f t="shared" si="1"/>
        <v>100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5.75" customHeight="1">
      <c r="A13" s="13" t="s">
        <v>50</v>
      </c>
      <c r="B13" s="12" t="s">
        <v>51</v>
      </c>
      <c r="C13" s="12" t="s">
        <v>39</v>
      </c>
      <c r="D13" s="11" t="s">
        <v>52</v>
      </c>
      <c r="E13" s="12" t="s">
        <v>43</v>
      </c>
      <c r="F13" s="17" t="s">
        <v>2</v>
      </c>
      <c r="G13" s="18">
        <v>7.0</v>
      </c>
      <c r="H13" s="15">
        <f>Details!B13</f>
        <v>15</v>
      </c>
      <c r="I13" s="16">
        <v>0.0</v>
      </c>
      <c r="J13" s="16">
        <f t="shared" si="1"/>
        <v>100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15.75" customHeight="1">
      <c r="A14" s="13" t="s">
        <v>38</v>
      </c>
      <c r="B14" s="12" t="s">
        <v>51</v>
      </c>
      <c r="C14" s="12" t="s">
        <v>53</v>
      </c>
      <c r="D14" s="11" t="s">
        <v>54</v>
      </c>
      <c r="E14" s="12" t="s">
        <v>32</v>
      </c>
      <c r="F14" s="17" t="s">
        <v>2</v>
      </c>
      <c r="G14" s="18">
        <v>15.0</v>
      </c>
      <c r="H14" s="15">
        <f>Details!B14</f>
        <v>15</v>
      </c>
      <c r="I14" s="16">
        <v>0.0</v>
      </c>
      <c r="J14" s="16">
        <f t="shared" si="1"/>
        <v>100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15.75" customHeight="1">
      <c r="A15" s="13" t="s">
        <v>38</v>
      </c>
      <c r="B15" s="12" t="s">
        <v>51</v>
      </c>
      <c r="C15" s="12" t="s">
        <v>53</v>
      </c>
      <c r="D15" s="11" t="s">
        <v>55</v>
      </c>
      <c r="E15" s="12" t="s">
        <v>41</v>
      </c>
      <c r="F15" s="17" t="s">
        <v>2</v>
      </c>
      <c r="G15" s="18">
        <v>11.0</v>
      </c>
      <c r="H15" s="15">
        <f>Details!B15</f>
        <v>15</v>
      </c>
      <c r="I15" s="16">
        <v>0.0</v>
      </c>
      <c r="J15" s="16">
        <f t="shared" si="1"/>
        <v>100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ht="15.75" customHeight="1">
      <c r="A16" s="13" t="s">
        <v>38</v>
      </c>
      <c r="B16" s="12" t="s">
        <v>56</v>
      </c>
      <c r="C16" s="12" t="s">
        <v>57</v>
      </c>
      <c r="D16" s="11" t="s">
        <v>58</v>
      </c>
      <c r="E16" s="12" t="s">
        <v>43</v>
      </c>
      <c r="F16" s="17" t="s">
        <v>2</v>
      </c>
      <c r="G16" s="18">
        <v>12.0</v>
      </c>
      <c r="H16" s="15">
        <f>Details!B16</f>
        <v>7</v>
      </c>
      <c r="I16" s="16">
        <v>0.0</v>
      </c>
      <c r="J16" s="16">
        <f t="shared" si="1"/>
        <v>100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15.75" customHeight="1">
      <c r="A17" s="13" t="s">
        <v>38</v>
      </c>
      <c r="B17" s="12" t="s">
        <v>56</v>
      </c>
      <c r="C17" s="12" t="s">
        <v>57</v>
      </c>
      <c r="D17" s="11" t="s">
        <v>59</v>
      </c>
      <c r="E17" s="12" t="s">
        <v>32</v>
      </c>
      <c r="F17" s="17" t="s">
        <v>2</v>
      </c>
      <c r="G17" s="18">
        <v>10.0</v>
      </c>
      <c r="H17" s="15">
        <f>Details!B17</f>
        <v>6</v>
      </c>
      <c r="I17" s="16">
        <v>0.0</v>
      </c>
      <c r="J17" s="16">
        <f t="shared" si="1"/>
        <v>100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ht="15.75" customHeight="1">
      <c r="A18" s="13" t="s">
        <v>60</v>
      </c>
      <c r="B18" s="12" t="s">
        <v>61</v>
      </c>
      <c r="C18" s="12" t="s">
        <v>62</v>
      </c>
      <c r="D18" s="11" t="s">
        <v>63</v>
      </c>
      <c r="E18" s="12" t="s">
        <v>43</v>
      </c>
      <c r="F18" s="17" t="s">
        <v>2</v>
      </c>
      <c r="G18" s="18">
        <v>9.0</v>
      </c>
      <c r="H18" s="15">
        <f>Details!B18</f>
        <v>5</v>
      </c>
      <c r="I18" s="16">
        <v>0.0</v>
      </c>
      <c r="J18" s="16">
        <f t="shared" si="1"/>
        <v>100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15.75" customHeight="1">
      <c r="A19" s="13" t="s">
        <v>60</v>
      </c>
      <c r="B19" s="12" t="s">
        <v>61</v>
      </c>
      <c r="C19" s="12" t="s">
        <v>62</v>
      </c>
      <c r="D19" s="11" t="s">
        <v>64</v>
      </c>
      <c r="E19" s="12" t="s">
        <v>32</v>
      </c>
      <c r="F19" s="17" t="s">
        <v>2</v>
      </c>
      <c r="G19" s="18">
        <v>21.0</v>
      </c>
      <c r="H19" s="15">
        <f>Details!B19</f>
        <v>12</v>
      </c>
      <c r="I19" s="16">
        <v>0.0</v>
      </c>
      <c r="J19" s="16">
        <f t="shared" si="1"/>
        <v>100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15.75" customHeight="1">
      <c r="A20" s="13" t="s">
        <v>60</v>
      </c>
      <c r="B20" s="12" t="s">
        <v>61</v>
      </c>
      <c r="C20" s="12" t="s">
        <v>62</v>
      </c>
      <c r="D20" s="11" t="s">
        <v>65</v>
      </c>
      <c r="E20" s="12" t="s">
        <v>41</v>
      </c>
      <c r="F20" s="17" t="s">
        <v>2</v>
      </c>
      <c r="G20" s="18">
        <v>7.0</v>
      </c>
      <c r="H20" s="15">
        <f>Details!B20</f>
        <v>5</v>
      </c>
      <c r="I20" s="16">
        <v>0.0</v>
      </c>
      <c r="J20" s="16">
        <f t="shared" si="1"/>
        <v>100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13" t="s">
        <v>60</v>
      </c>
      <c r="B21" s="12" t="s">
        <v>56</v>
      </c>
      <c r="C21" s="12" t="s">
        <v>62</v>
      </c>
      <c r="D21" s="11" t="s">
        <v>66</v>
      </c>
      <c r="E21" s="12" t="s">
        <v>41</v>
      </c>
      <c r="F21" s="17" t="s">
        <v>2</v>
      </c>
      <c r="G21" s="18">
        <v>8.0</v>
      </c>
      <c r="H21" s="15">
        <f>Details!B21</f>
        <v>8</v>
      </c>
      <c r="I21" s="16">
        <v>0.0</v>
      </c>
      <c r="J21" s="16">
        <f t="shared" si="1"/>
        <v>100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10" t="s">
        <v>26</v>
      </c>
      <c r="B22" s="10" t="s">
        <v>29</v>
      </c>
      <c r="C22" s="12" t="s">
        <v>39</v>
      </c>
      <c r="D22" s="11" t="s">
        <v>67</v>
      </c>
      <c r="E22" s="12" t="s">
        <v>24</v>
      </c>
      <c r="F22" s="13" t="s">
        <v>2</v>
      </c>
      <c r="G22" s="15">
        <v>16.0</v>
      </c>
      <c r="H22" s="15">
        <f>Details!B22</f>
        <v>13</v>
      </c>
      <c r="I22" s="16">
        <v>0.0</v>
      </c>
      <c r="J22" s="16">
        <f t="shared" si="1"/>
        <v>100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13" t="s">
        <v>38</v>
      </c>
      <c r="B23" s="12" t="s">
        <v>56</v>
      </c>
      <c r="C23" s="12" t="s">
        <v>57</v>
      </c>
      <c r="D23" s="11" t="s">
        <v>68</v>
      </c>
      <c r="E23" s="12" t="s">
        <v>43</v>
      </c>
      <c r="F23" s="17" t="s">
        <v>2</v>
      </c>
      <c r="G23" s="18">
        <v>10.0</v>
      </c>
      <c r="H23" s="15">
        <f>Details!B23</f>
        <v>9</v>
      </c>
      <c r="I23" s="16">
        <v>0.0</v>
      </c>
      <c r="J23" s="16">
        <f t="shared" si="1"/>
        <v>100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10" t="s">
        <v>26</v>
      </c>
      <c r="B24" s="10" t="s">
        <v>69</v>
      </c>
      <c r="C24" s="12" t="s">
        <v>39</v>
      </c>
      <c r="D24" s="11" t="s">
        <v>70</v>
      </c>
      <c r="E24" s="12" t="s">
        <v>32</v>
      </c>
      <c r="F24" s="13" t="s">
        <v>4</v>
      </c>
      <c r="G24" s="15">
        <v>8.0</v>
      </c>
      <c r="H24" s="15">
        <f>Details!B24</f>
        <v>10</v>
      </c>
      <c r="I24" s="16">
        <v>0.0</v>
      </c>
      <c r="J24" s="16">
        <f t="shared" si="1"/>
        <v>100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10" t="s">
        <v>26</v>
      </c>
      <c r="B25" s="10" t="s">
        <v>71</v>
      </c>
      <c r="C25" s="12" t="s">
        <v>72</v>
      </c>
      <c r="D25" s="11" t="s">
        <v>73</v>
      </c>
      <c r="E25" s="12" t="s">
        <v>32</v>
      </c>
      <c r="F25" s="19" t="s">
        <v>4</v>
      </c>
      <c r="G25" s="20">
        <v>8.0</v>
      </c>
      <c r="H25" s="15">
        <f>Details!B25</f>
        <v>12</v>
      </c>
      <c r="I25" s="16">
        <v>0.0</v>
      </c>
      <c r="J25" s="16">
        <f t="shared" si="1"/>
        <v>100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10" t="s">
        <v>26</v>
      </c>
      <c r="B26" s="12" t="s">
        <v>71</v>
      </c>
      <c r="C26" s="12" t="s">
        <v>72</v>
      </c>
      <c r="D26" s="11" t="s">
        <v>74</v>
      </c>
      <c r="E26" s="12" t="s">
        <v>32</v>
      </c>
      <c r="F26" s="12" t="s">
        <v>4</v>
      </c>
      <c r="G26" s="18">
        <v>16.0</v>
      </c>
      <c r="H26" s="15">
        <f>Details!B26</f>
        <v>15</v>
      </c>
      <c r="I26" s="16">
        <v>0.0</v>
      </c>
      <c r="J26" s="16">
        <f t="shared" si="1"/>
        <v>100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13" t="s">
        <v>38</v>
      </c>
      <c r="B27" s="12" t="s">
        <v>21</v>
      </c>
      <c r="C27" s="12" t="s">
        <v>22</v>
      </c>
      <c r="D27" s="11" t="s">
        <v>23</v>
      </c>
      <c r="E27" s="12" t="s">
        <v>24</v>
      </c>
      <c r="F27" s="17" t="s">
        <v>4</v>
      </c>
      <c r="G27" s="18">
        <v>17.0</v>
      </c>
      <c r="H27" s="15">
        <f>Details!B27</f>
        <v>15</v>
      </c>
      <c r="I27" s="16">
        <v>0.0</v>
      </c>
      <c r="J27" s="16">
        <f t="shared" si="1"/>
        <v>100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13" t="s">
        <v>38</v>
      </c>
      <c r="B28" s="12" t="s">
        <v>71</v>
      </c>
      <c r="C28" s="12" t="s">
        <v>72</v>
      </c>
      <c r="D28" s="11" t="s">
        <v>75</v>
      </c>
      <c r="E28" s="12" t="s">
        <v>43</v>
      </c>
      <c r="F28" s="17" t="s">
        <v>4</v>
      </c>
      <c r="G28" s="18">
        <v>15.0</v>
      </c>
      <c r="H28" s="15">
        <f>Details!B28</f>
        <v>10</v>
      </c>
      <c r="I28" s="16">
        <v>0.0</v>
      </c>
      <c r="J28" s="16">
        <f t="shared" si="1"/>
        <v>100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10" t="s">
        <v>38</v>
      </c>
      <c r="B29" s="12" t="s">
        <v>76</v>
      </c>
      <c r="C29" s="12" t="s">
        <v>77</v>
      </c>
      <c r="D29" s="11" t="s">
        <v>78</v>
      </c>
      <c r="E29" s="12" t="s">
        <v>32</v>
      </c>
      <c r="F29" s="17" t="s">
        <v>4</v>
      </c>
      <c r="G29" s="18">
        <v>10.0</v>
      </c>
      <c r="H29" s="15">
        <f>Details!B29</f>
        <v>10</v>
      </c>
      <c r="I29" s="16">
        <v>0.0</v>
      </c>
      <c r="J29" s="16">
        <f t="shared" si="1"/>
        <v>100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10" t="s">
        <v>38</v>
      </c>
      <c r="B30" s="12" t="s">
        <v>76</v>
      </c>
      <c r="C30" s="12" t="s">
        <v>77</v>
      </c>
      <c r="D30" s="11" t="s">
        <v>79</v>
      </c>
      <c r="E30" s="12" t="s">
        <v>41</v>
      </c>
      <c r="F30" s="17" t="s">
        <v>4</v>
      </c>
      <c r="G30" s="18">
        <v>10.0</v>
      </c>
      <c r="H30" s="15">
        <f>Details!B30</f>
        <v>10</v>
      </c>
      <c r="I30" s="16">
        <v>0.0</v>
      </c>
      <c r="J30" s="16">
        <f t="shared" si="1"/>
        <v>100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13" t="s">
        <v>50</v>
      </c>
      <c r="B31" s="12" t="s">
        <v>44</v>
      </c>
      <c r="C31" s="12" t="s">
        <v>39</v>
      </c>
      <c r="D31" s="11" t="s">
        <v>80</v>
      </c>
      <c r="E31" s="12" t="s">
        <v>32</v>
      </c>
      <c r="F31" s="17" t="s">
        <v>4</v>
      </c>
      <c r="G31" s="18">
        <v>22.0</v>
      </c>
      <c r="H31" s="15">
        <f>Details!B31</f>
        <v>20</v>
      </c>
      <c r="I31" s="16">
        <v>0.0</v>
      </c>
      <c r="J31" s="16">
        <f t="shared" si="1"/>
        <v>100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13" t="s">
        <v>50</v>
      </c>
      <c r="B32" s="12" t="s">
        <v>44</v>
      </c>
      <c r="C32" s="12" t="s">
        <v>39</v>
      </c>
      <c r="D32" s="11" t="s">
        <v>81</v>
      </c>
      <c r="E32" s="12" t="s">
        <v>32</v>
      </c>
      <c r="F32" s="17" t="s">
        <v>4</v>
      </c>
      <c r="G32" s="18">
        <v>18.0</v>
      </c>
      <c r="H32" s="15">
        <f>Details!B32</f>
        <v>21</v>
      </c>
      <c r="I32" s="16">
        <v>0.0</v>
      </c>
      <c r="J32" s="16">
        <f t="shared" si="1"/>
        <v>100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13" t="s">
        <v>50</v>
      </c>
      <c r="B33" s="12" t="s">
        <v>44</v>
      </c>
      <c r="C33" s="12" t="s">
        <v>39</v>
      </c>
      <c r="D33" s="11" t="s">
        <v>82</v>
      </c>
      <c r="E33" s="12" t="s">
        <v>32</v>
      </c>
      <c r="F33" s="17" t="s">
        <v>4</v>
      </c>
      <c r="G33" s="18">
        <v>20.0</v>
      </c>
      <c r="H33" s="15">
        <f>Details!B33</f>
        <v>25</v>
      </c>
      <c r="I33" s="16">
        <v>0.0</v>
      </c>
      <c r="J33" s="16">
        <f t="shared" si="1"/>
        <v>100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13" t="s">
        <v>50</v>
      </c>
      <c r="B34" s="12" t="s">
        <v>44</v>
      </c>
      <c r="C34" s="12" t="s">
        <v>39</v>
      </c>
      <c r="D34" s="11" t="s">
        <v>83</v>
      </c>
      <c r="E34" s="12" t="s">
        <v>32</v>
      </c>
      <c r="F34" s="17" t="s">
        <v>4</v>
      </c>
      <c r="G34" s="18">
        <v>19.0</v>
      </c>
      <c r="H34" s="15">
        <f>Details!B34</f>
        <v>22</v>
      </c>
      <c r="I34" s="16">
        <v>0.0</v>
      </c>
      <c r="J34" s="16">
        <f t="shared" si="1"/>
        <v>100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13" t="s">
        <v>50</v>
      </c>
      <c r="B35" s="12" t="s">
        <v>44</v>
      </c>
      <c r="C35" s="12" t="s">
        <v>39</v>
      </c>
      <c r="D35" s="11" t="s">
        <v>84</v>
      </c>
      <c r="E35" s="12" t="s">
        <v>41</v>
      </c>
      <c r="F35" s="17" t="s">
        <v>4</v>
      </c>
      <c r="G35" s="18">
        <v>8.0</v>
      </c>
      <c r="H35" s="15">
        <f>Details!B35</f>
        <v>10</v>
      </c>
      <c r="I35" s="16">
        <v>0.0</v>
      </c>
      <c r="J35" s="16">
        <f t="shared" si="1"/>
        <v>100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13" t="s">
        <v>38</v>
      </c>
      <c r="B36" s="12" t="s">
        <v>56</v>
      </c>
      <c r="C36" s="12" t="s">
        <v>57</v>
      </c>
      <c r="D36" s="11" t="s">
        <v>85</v>
      </c>
      <c r="E36" s="12" t="s">
        <v>32</v>
      </c>
      <c r="F36" s="17" t="s">
        <v>4</v>
      </c>
      <c r="G36" s="18">
        <v>13.0</v>
      </c>
      <c r="H36" s="15">
        <f>Details!B36</f>
        <v>10</v>
      </c>
      <c r="I36" s="16">
        <v>0.0</v>
      </c>
      <c r="J36" s="16">
        <f t="shared" si="1"/>
        <v>100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13" t="s">
        <v>38</v>
      </c>
      <c r="B37" s="12" t="s">
        <v>56</v>
      </c>
      <c r="C37" s="12" t="s">
        <v>57</v>
      </c>
      <c r="D37" s="11" t="s">
        <v>86</v>
      </c>
      <c r="E37" s="12" t="s">
        <v>41</v>
      </c>
      <c r="F37" s="17" t="s">
        <v>4</v>
      </c>
      <c r="G37" s="18">
        <v>8.0</v>
      </c>
      <c r="H37" s="15">
        <f>Details!B37</f>
        <v>9</v>
      </c>
      <c r="I37" s="16">
        <v>0.0</v>
      </c>
      <c r="J37" s="16">
        <f t="shared" si="1"/>
        <v>100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13" t="s">
        <v>38</v>
      </c>
      <c r="B38" s="12" t="s">
        <v>56</v>
      </c>
      <c r="C38" s="12" t="s">
        <v>57</v>
      </c>
      <c r="D38" s="11" t="s">
        <v>87</v>
      </c>
      <c r="E38" s="12" t="s">
        <v>43</v>
      </c>
      <c r="F38" s="17" t="s">
        <v>4</v>
      </c>
      <c r="G38" s="18">
        <v>9.0</v>
      </c>
      <c r="H38" s="15">
        <f>Details!B38</f>
        <v>16</v>
      </c>
      <c r="I38" s="16">
        <v>0.0</v>
      </c>
      <c r="J38" s="16">
        <f t="shared" si="1"/>
        <v>100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13" t="s">
        <v>38</v>
      </c>
      <c r="B39" s="12" t="s">
        <v>56</v>
      </c>
      <c r="C39" s="12" t="s">
        <v>57</v>
      </c>
      <c r="D39" s="11" t="s">
        <v>88</v>
      </c>
      <c r="E39" s="12" t="s">
        <v>32</v>
      </c>
      <c r="F39" s="17" t="s">
        <v>4</v>
      </c>
      <c r="G39" s="18">
        <v>10.0</v>
      </c>
      <c r="H39" s="15">
        <f>Details!B39</f>
        <v>13</v>
      </c>
      <c r="I39" s="16">
        <v>0.0</v>
      </c>
      <c r="J39" s="16">
        <f t="shared" si="1"/>
        <v>100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13" t="s">
        <v>38</v>
      </c>
      <c r="B40" s="12" t="s">
        <v>56</v>
      </c>
      <c r="C40" s="12" t="s">
        <v>57</v>
      </c>
      <c r="D40" s="11" t="s">
        <v>89</v>
      </c>
      <c r="E40" s="12" t="s">
        <v>41</v>
      </c>
      <c r="F40" s="17" t="s">
        <v>4</v>
      </c>
      <c r="G40" s="18">
        <v>5.0</v>
      </c>
      <c r="H40" s="15">
        <f>Details!B40</f>
        <v>3</v>
      </c>
      <c r="I40" s="16">
        <v>0.0</v>
      </c>
      <c r="J40" s="16">
        <f t="shared" si="1"/>
        <v>100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13" t="s">
        <v>38</v>
      </c>
      <c r="B41" s="12" t="s">
        <v>56</v>
      </c>
      <c r="C41" s="12" t="s">
        <v>57</v>
      </c>
      <c r="D41" s="11" t="s">
        <v>90</v>
      </c>
      <c r="E41" s="12" t="s">
        <v>43</v>
      </c>
      <c r="F41" s="17" t="s">
        <v>4</v>
      </c>
      <c r="G41" s="18">
        <v>10.0</v>
      </c>
      <c r="H41" s="15">
        <f>Details!B41</f>
        <v>12</v>
      </c>
      <c r="I41" s="16">
        <v>0.0</v>
      </c>
      <c r="J41" s="16">
        <f t="shared" si="1"/>
        <v>100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13" t="s">
        <v>60</v>
      </c>
      <c r="B42" s="12" t="s">
        <v>56</v>
      </c>
      <c r="C42" s="12" t="s">
        <v>91</v>
      </c>
      <c r="D42" s="11" t="s">
        <v>92</v>
      </c>
      <c r="E42" s="12" t="s">
        <v>43</v>
      </c>
      <c r="F42" s="17" t="s">
        <v>4</v>
      </c>
      <c r="G42" s="18">
        <v>10.0</v>
      </c>
      <c r="H42" s="15">
        <f>Details!B42</f>
        <v>11</v>
      </c>
      <c r="I42" s="16">
        <v>0.0</v>
      </c>
      <c r="J42" s="16">
        <f t="shared" si="1"/>
        <v>100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13" t="s">
        <v>26</v>
      </c>
      <c r="B43" s="12" t="s">
        <v>76</v>
      </c>
      <c r="C43" s="12" t="s">
        <v>39</v>
      </c>
      <c r="D43" s="11" t="s">
        <v>93</v>
      </c>
      <c r="E43" s="12" t="s">
        <v>32</v>
      </c>
      <c r="F43" s="17" t="s">
        <v>4</v>
      </c>
      <c r="G43" s="18">
        <v>12.0</v>
      </c>
      <c r="H43" s="15">
        <f>Details!B43</f>
        <v>11</v>
      </c>
      <c r="I43" s="16">
        <v>0.0</v>
      </c>
      <c r="J43" s="16">
        <f t="shared" si="1"/>
        <v>100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10" t="s">
        <v>26</v>
      </c>
      <c r="B44" s="10" t="s">
        <v>21</v>
      </c>
      <c r="C44" s="12" t="s">
        <v>22</v>
      </c>
      <c r="D44" s="11" t="s">
        <v>94</v>
      </c>
      <c r="E44" s="12" t="s">
        <v>28</v>
      </c>
      <c r="F44" s="13" t="s">
        <v>6</v>
      </c>
      <c r="G44" s="15">
        <v>55.0</v>
      </c>
      <c r="H44" s="15">
        <f>Details!B44</f>
        <v>50</v>
      </c>
      <c r="I44" s="16">
        <v>0.0</v>
      </c>
      <c r="J44" s="16">
        <f t="shared" si="1"/>
        <v>100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10" t="s">
        <v>26</v>
      </c>
      <c r="B45" s="12" t="s">
        <v>36</v>
      </c>
      <c r="C45" s="12" t="s">
        <v>39</v>
      </c>
      <c r="D45" s="11" t="s">
        <v>95</v>
      </c>
      <c r="E45" s="12" t="s">
        <v>32</v>
      </c>
      <c r="F45" s="17" t="s">
        <v>6</v>
      </c>
      <c r="G45" s="18">
        <v>7.0</v>
      </c>
      <c r="H45" s="15">
        <f>Details!B45</f>
        <v>5</v>
      </c>
      <c r="I45" s="16">
        <v>0.0</v>
      </c>
      <c r="J45" s="16">
        <f t="shared" si="1"/>
        <v>100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13" t="s">
        <v>26</v>
      </c>
      <c r="B46" s="12" t="s">
        <v>36</v>
      </c>
      <c r="C46" s="12" t="s">
        <v>39</v>
      </c>
      <c r="D46" s="11" t="s">
        <v>96</v>
      </c>
      <c r="E46" s="12" t="s">
        <v>32</v>
      </c>
      <c r="F46" s="17" t="s">
        <v>6</v>
      </c>
      <c r="G46" s="18">
        <v>15.0</v>
      </c>
      <c r="H46" s="15">
        <f>Details!B46</f>
        <v>12</v>
      </c>
      <c r="I46" s="16">
        <v>0.0</v>
      </c>
      <c r="J46" s="16">
        <f t="shared" si="1"/>
        <v>100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13" t="s">
        <v>26</v>
      </c>
      <c r="B47" s="12" t="s">
        <v>76</v>
      </c>
      <c r="C47" s="12" t="s">
        <v>39</v>
      </c>
      <c r="D47" s="11" t="s">
        <v>97</v>
      </c>
      <c r="E47" s="12" t="s">
        <v>32</v>
      </c>
      <c r="F47" s="17" t="s">
        <v>6</v>
      </c>
      <c r="G47" s="18">
        <v>20.0</v>
      </c>
      <c r="H47" s="15">
        <f>Details!B47</f>
        <v>25</v>
      </c>
      <c r="I47" s="16">
        <v>0.0</v>
      </c>
      <c r="J47" s="16">
        <f t="shared" si="1"/>
        <v>100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10" t="s">
        <v>38</v>
      </c>
      <c r="B48" s="12" t="s">
        <v>76</v>
      </c>
      <c r="C48" s="12" t="s">
        <v>77</v>
      </c>
      <c r="D48" s="11" t="s">
        <v>98</v>
      </c>
      <c r="E48" s="12" t="s">
        <v>43</v>
      </c>
      <c r="F48" s="17" t="s">
        <v>6</v>
      </c>
      <c r="G48" s="18">
        <v>15.0</v>
      </c>
      <c r="H48" s="15">
        <f>Details!B48</f>
        <v>19</v>
      </c>
      <c r="I48" s="16">
        <v>0.0</v>
      </c>
      <c r="J48" s="16">
        <f t="shared" si="1"/>
        <v>100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10" t="s">
        <v>38</v>
      </c>
      <c r="B49" s="12" t="s">
        <v>76</v>
      </c>
      <c r="C49" s="12" t="s">
        <v>77</v>
      </c>
      <c r="D49" s="11" t="s">
        <v>99</v>
      </c>
      <c r="E49" s="12" t="s">
        <v>43</v>
      </c>
      <c r="F49" s="17" t="s">
        <v>6</v>
      </c>
      <c r="G49" s="18">
        <v>11.0</v>
      </c>
      <c r="H49" s="15">
        <f>Details!B49</f>
        <v>20</v>
      </c>
      <c r="I49" s="16">
        <v>0.0</v>
      </c>
      <c r="J49" s="16">
        <f t="shared" si="1"/>
        <v>100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10" t="s">
        <v>38</v>
      </c>
      <c r="B50" s="12" t="s">
        <v>76</v>
      </c>
      <c r="C50" s="12" t="s">
        <v>77</v>
      </c>
      <c r="D50" s="11" t="s">
        <v>100</v>
      </c>
      <c r="E50" s="12" t="s">
        <v>43</v>
      </c>
      <c r="F50" s="17" t="s">
        <v>6</v>
      </c>
      <c r="G50" s="18">
        <v>8.0</v>
      </c>
      <c r="H50" s="15">
        <f>Details!B50</f>
        <v>20</v>
      </c>
      <c r="I50" s="16">
        <v>0.0</v>
      </c>
      <c r="J50" s="16">
        <f t="shared" si="1"/>
        <v>100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10" t="s">
        <v>38</v>
      </c>
      <c r="B51" s="12" t="s">
        <v>44</v>
      </c>
      <c r="C51" s="12" t="s">
        <v>101</v>
      </c>
      <c r="D51" s="11" t="s">
        <v>102</v>
      </c>
      <c r="E51" s="12" t="s">
        <v>43</v>
      </c>
      <c r="F51" s="17" t="s">
        <v>6</v>
      </c>
      <c r="G51" s="18">
        <v>13.0</v>
      </c>
      <c r="H51" s="15">
        <f>Details!B51</f>
        <v>17</v>
      </c>
      <c r="I51" s="16">
        <v>0.0</v>
      </c>
      <c r="J51" s="16">
        <f t="shared" si="1"/>
        <v>100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10" t="s">
        <v>38</v>
      </c>
      <c r="B52" s="12" t="s">
        <v>76</v>
      </c>
      <c r="C52" s="12" t="s">
        <v>77</v>
      </c>
      <c r="D52" s="11" t="s">
        <v>103</v>
      </c>
      <c r="E52" s="12" t="s">
        <v>41</v>
      </c>
      <c r="F52" s="17" t="s">
        <v>6</v>
      </c>
      <c r="G52" s="18">
        <v>18.0</v>
      </c>
      <c r="H52" s="15">
        <f>Details!B52</f>
        <v>22</v>
      </c>
      <c r="I52" s="16">
        <v>0.0</v>
      </c>
      <c r="J52" s="16">
        <f t="shared" si="1"/>
        <v>100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13" t="s">
        <v>50</v>
      </c>
      <c r="B53" s="12" t="s">
        <v>44</v>
      </c>
      <c r="C53" s="12" t="s">
        <v>39</v>
      </c>
      <c r="D53" s="11" t="s">
        <v>104</v>
      </c>
      <c r="E53" s="12" t="s">
        <v>28</v>
      </c>
      <c r="F53" s="17" t="s">
        <v>6</v>
      </c>
      <c r="G53" s="18">
        <v>15.0</v>
      </c>
      <c r="H53" s="15">
        <f>Details!B53</f>
        <v>5</v>
      </c>
      <c r="I53" s="16">
        <v>0.0</v>
      </c>
      <c r="J53" s="16">
        <f t="shared" si="1"/>
        <v>100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13" t="s">
        <v>38</v>
      </c>
      <c r="B54" s="12" t="s">
        <v>51</v>
      </c>
      <c r="C54" s="12" t="s">
        <v>105</v>
      </c>
      <c r="D54" s="11" t="s">
        <v>106</v>
      </c>
      <c r="E54" s="12" t="s">
        <v>28</v>
      </c>
      <c r="F54" s="17" t="s">
        <v>6</v>
      </c>
      <c r="G54" s="18">
        <v>10.0</v>
      </c>
      <c r="H54" s="15">
        <f>Details!B54</f>
        <v>3</v>
      </c>
      <c r="I54" s="16">
        <v>0.0</v>
      </c>
      <c r="J54" s="16">
        <f t="shared" si="1"/>
        <v>100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13" t="s">
        <v>50</v>
      </c>
      <c r="B55" s="12" t="s">
        <v>56</v>
      </c>
      <c r="C55" s="12" t="s">
        <v>39</v>
      </c>
      <c r="D55" s="11" t="s">
        <v>107</v>
      </c>
      <c r="E55" s="12" t="s">
        <v>43</v>
      </c>
      <c r="F55" s="17" t="s">
        <v>6</v>
      </c>
      <c r="G55" s="18">
        <v>12.0</v>
      </c>
      <c r="H55" s="15">
        <f>Details!B55</f>
        <v>10</v>
      </c>
      <c r="I55" s="16">
        <v>0.0</v>
      </c>
      <c r="J55" s="16">
        <f t="shared" si="1"/>
        <v>100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13" t="s">
        <v>50</v>
      </c>
      <c r="B56" s="12" t="s">
        <v>56</v>
      </c>
      <c r="C56" s="12" t="s">
        <v>39</v>
      </c>
      <c r="D56" s="11" t="s">
        <v>108</v>
      </c>
      <c r="E56" s="12" t="s">
        <v>32</v>
      </c>
      <c r="F56" s="17" t="s">
        <v>6</v>
      </c>
      <c r="G56" s="18">
        <v>18.0</v>
      </c>
      <c r="H56" s="15">
        <f>Details!B56</f>
        <v>14</v>
      </c>
      <c r="I56" s="16">
        <v>0.0</v>
      </c>
      <c r="J56" s="16">
        <f t="shared" si="1"/>
        <v>100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13" t="s">
        <v>50</v>
      </c>
      <c r="B57" s="12" t="s">
        <v>56</v>
      </c>
      <c r="C57" s="12" t="s">
        <v>39</v>
      </c>
      <c r="D57" s="11" t="s">
        <v>109</v>
      </c>
      <c r="E57" s="12" t="s">
        <v>41</v>
      </c>
      <c r="F57" s="17" t="s">
        <v>6</v>
      </c>
      <c r="G57" s="18">
        <v>8.0</v>
      </c>
      <c r="H57" s="15">
        <f>Details!B57</f>
        <v>6</v>
      </c>
      <c r="I57" s="16">
        <v>0.0</v>
      </c>
      <c r="J57" s="16">
        <f t="shared" si="1"/>
        <v>100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13" t="s">
        <v>38</v>
      </c>
      <c r="B58" s="12" t="s">
        <v>56</v>
      </c>
      <c r="C58" s="12" t="s">
        <v>57</v>
      </c>
      <c r="D58" s="11" t="s">
        <v>110</v>
      </c>
      <c r="E58" s="12" t="s">
        <v>41</v>
      </c>
      <c r="F58" s="17" t="s">
        <v>6</v>
      </c>
      <c r="G58" s="18">
        <v>7.0</v>
      </c>
      <c r="H58" s="15">
        <f>Details!B58</f>
        <v>10</v>
      </c>
      <c r="I58" s="16">
        <v>0.0</v>
      </c>
      <c r="J58" s="16">
        <f t="shared" si="1"/>
        <v>100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13" t="s">
        <v>38</v>
      </c>
      <c r="B59" s="12" t="s">
        <v>56</v>
      </c>
      <c r="C59" s="12" t="s">
        <v>57</v>
      </c>
      <c r="D59" s="11" t="s">
        <v>111</v>
      </c>
      <c r="E59" s="12" t="s">
        <v>43</v>
      </c>
      <c r="F59" s="17" t="s">
        <v>6</v>
      </c>
      <c r="G59" s="18">
        <v>5.0</v>
      </c>
      <c r="H59" s="15">
        <f>Details!B59</f>
        <v>9</v>
      </c>
      <c r="I59" s="16">
        <v>0.0</v>
      </c>
      <c r="J59" s="16">
        <f t="shared" si="1"/>
        <v>100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13" t="s">
        <v>60</v>
      </c>
      <c r="B60" s="12" t="s">
        <v>56</v>
      </c>
      <c r="C60" s="12" t="s">
        <v>62</v>
      </c>
      <c r="D60" s="11" t="s">
        <v>112</v>
      </c>
      <c r="E60" s="12" t="s">
        <v>32</v>
      </c>
      <c r="F60" s="17" t="s">
        <v>6</v>
      </c>
      <c r="G60" s="18">
        <v>9.0</v>
      </c>
      <c r="H60" s="15">
        <f>Details!B60</f>
        <v>10</v>
      </c>
      <c r="I60" s="16">
        <v>0.0</v>
      </c>
      <c r="J60" s="16">
        <f t="shared" si="1"/>
        <v>100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10" t="s">
        <v>26</v>
      </c>
      <c r="B61" s="10" t="s">
        <v>29</v>
      </c>
      <c r="C61" s="12" t="s">
        <v>113</v>
      </c>
      <c r="D61" s="11" t="s">
        <v>114</v>
      </c>
      <c r="E61" s="12" t="s">
        <v>32</v>
      </c>
      <c r="F61" s="13" t="s">
        <v>8</v>
      </c>
      <c r="G61" s="15">
        <v>35.0</v>
      </c>
      <c r="H61" s="15">
        <f>Details!B61</f>
        <v>21</v>
      </c>
      <c r="I61" s="16">
        <v>0.0</v>
      </c>
      <c r="J61" s="16">
        <f t="shared" si="1"/>
        <v>100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13" t="s">
        <v>38</v>
      </c>
      <c r="B62" s="12" t="s">
        <v>29</v>
      </c>
      <c r="C62" s="12" t="s">
        <v>30</v>
      </c>
      <c r="D62" s="11" t="s">
        <v>115</v>
      </c>
      <c r="E62" s="12" t="s">
        <v>43</v>
      </c>
      <c r="F62" s="17" t="s">
        <v>8</v>
      </c>
      <c r="G62" s="18">
        <v>21.0</v>
      </c>
      <c r="H62" s="15">
        <f>Details!B62</f>
        <v>26</v>
      </c>
      <c r="I62" s="16">
        <v>0.0</v>
      </c>
      <c r="J62" s="16">
        <f t="shared" si="1"/>
        <v>100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13" t="s">
        <v>38</v>
      </c>
      <c r="B63" s="12" t="s">
        <v>71</v>
      </c>
      <c r="C63" s="12" t="s">
        <v>72</v>
      </c>
      <c r="D63" s="11" t="s">
        <v>115</v>
      </c>
      <c r="E63" s="12" t="s">
        <v>43</v>
      </c>
      <c r="F63" s="17" t="s">
        <v>8</v>
      </c>
      <c r="G63" s="18">
        <v>26.0</v>
      </c>
      <c r="H63" s="15">
        <f>Details!B63</f>
        <v>15</v>
      </c>
      <c r="I63" s="16">
        <v>0.0</v>
      </c>
      <c r="J63" s="16">
        <f t="shared" si="1"/>
        <v>100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13" t="s">
        <v>38</v>
      </c>
      <c r="B64" s="12" t="s">
        <v>61</v>
      </c>
      <c r="C64" s="12" t="s">
        <v>39</v>
      </c>
      <c r="D64" s="11" t="s">
        <v>116</v>
      </c>
      <c r="E64" s="12" t="s">
        <v>43</v>
      </c>
      <c r="F64" s="17" t="s">
        <v>8</v>
      </c>
      <c r="G64" s="18">
        <v>32.0</v>
      </c>
      <c r="H64" s="15">
        <f>Details!B64</f>
        <v>36</v>
      </c>
      <c r="I64" s="16">
        <v>0.0</v>
      </c>
      <c r="J64" s="16">
        <f t="shared" si="1"/>
        <v>100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10" t="s">
        <v>26</v>
      </c>
      <c r="B65" s="12" t="s">
        <v>47</v>
      </c>
      <c r="C65" s="12" t="s">
        <v>48</v>
      </c>
      <c r="D65" s="11" t="s">
        <v>117</v>
      </c>
      <c r="E65" s="12" t="s">
        <v>32</v>
      </c>
      <c r="F65" s="17" t="s">
        <v>8</v>
      </c>
      <c r="G65" s="18">
        <v>5.0</v>
      </c>
      <c r="H65" s="15">
        <f>Details!B65</f>
        <v>8</v>
      </c>
      <c r="I65" s="16">
        <v>0.0</v>
      </c>
      <c r="J65" s="16">
        <f t="shared" si="1"/>
        <v>100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10" t="s">
        <v>26</v>
      </c>
      <c r="B66" s="12" t="s">
        <v>47</v>
      </c>
      <c r="C66" s="12" t="s">
        <v>48</v>
      </c>
      <c r="D66" s="11" t="s">
        <v>118</v>
      </c>
      <c r="E66" s="12" t="s">
        <v>32</v>
      </c>
      <c r="F66" s="17" t="s">
        <v>8</v>
      </c>
      <c r="G66" s="18">
        <v>5.0</v>
      </c>
      <c r="H66" s="15">
        <f>Details!B66</f>
        <v>6</v>
      </c>
      <c r="I66" s="16">
        <v>0.0</v>
      </c>
      <c r="J66" s="16">
        <f t="shared" si="1"/>
        <v>100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10" t="s">
        <v>26</v>
      </c>
      <c r="B67" s="12" t="s">
        <v>47</v>
      </c>
      <c r="C67" s="12" t="s">
        <v>48</v>
      </c>
      <c r="D67" s="11" t="s">
        <v>119</v>
      </c>
      <c r="E67" s="12" t="s">
        <v>32</v>
      </c>
      <c r="F67" s="17" t="s">
        <v>8</v>
      </c>
      <c r="G67" s="18">
        <v>10.0</v>
      </c>
      <c r="H67" s="15">
        <f>Details!B67</f>
        <v>12</v>
      </c>
      <c r="I67" s="16">
        <v>0.0</v>
      </c>
      <c r="J67" s="16">
        <f t="shared" si="1"/>
        <v>100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10" t="s">
        <v>38</v>
      </c>
      <c r="B68" s="12" t="s">
        <v>47</v>
      </c>
      <c r="C68" s="12" t="s">
        <v>48</v>
      </c>
      <c r="D68" s="11" t="s">
        <v>120</v>
      </c>
      <c r="E68" s="12" t="s">
        <v>43</v>
      </c>
      <c r="F68" s="17" t="s">
        <v>8</v>
      </c>
      <c r="G68" s="18">
        <v>15.0</v>
      </c>
      <c r="H68" s="15">
        <f>Details!B68</f>
        <v>16</v>
      </c>
      <c r="I68" s="16">
        <v>0.0</v>
      </c>
      <c r="J68" s="16">
        <f t="shared" si="1"/>
        <v>100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10" t="s">
        <v>38</v>
      </c>
      <c r="B69" s="12" t="s">
        <v>47</v>
      </c>
      <c r="C69" s="12" t="s">
        <v>48</v>
      </c>
      <c r="D69" s="11" t="s">
        <v>121</v>
      </c>
      <c r="E69" s="12" t="s">
        <v>43</v>
      </c>
      <c r="F69" s="17" t="s">
        <v>8</v>
      </c>
      <c r="G69" s="18">
        <v>10.0</v>
      </c>
      <c r="H69" s="15">
        <f>Details!B69</f>
        <v>15</v>
      </c>
      <c r="I69" s="16">
        <v>0.0</v>
      </c>
      <c r="J69" s="16">
        <f t="shared" si="1"/>
        <v>100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10" t="s">
        <v>38</v>
      </c>
      <c r="B70" s="12" t="s">
        <v>47</v>
      </c>
      <c r="C70" s="12" t="s">
        <v>48</v>
      </c>
      <c r="D70" s="11" t="s">
        <v>115</v>
      </c>
      <c r="E70" s="12" t="s">
        <v>43</v>
      </c>
      <c r="F70" s="17" t="s">
        <v>8</v>
      </c>
      <c r="G70" s="18">
        <v>20.0</v>
      </c>
      <c r="H70" s="15">
        <f>Details!B70</f>
        <v>22</v>
      </c>
      <c r="I70" s="16">
        <v>0.0</v>
      </c>
      <c r="J70" s="16">
        <f t="shared" si="1"/>
        <v>100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10" t="s">
        <v>38</v>
      </c>
      <c r="B71" s="12" t="s">
        <v>47</v>
      </c>
      <c r="C71" s="12" t="s">
        <v>48</v>
      </c>
      <c r="D71" s="11" t="s">
        <v>122</v>
      </c>
      <c r="E71" s="12" t="s">
        <v>41</v>
      </c>
      <c r="F71" s="17" t="s">
        <v>8</v>
      </c>
      <c r="G71" s="18">
        <v>10.0</v>
      </c>
      <c r="H71" s="15">
        <f>Details!B71</f>
        <v>12</v>
      </c>
      <c r="I71" s="16">
        <v>0.0</v>
      </c>
      <c r="J71" s="16">
        <f t="shared" si="1"/>
        <v>100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10" t="s">
        <v>38</v>
      </c>
      <c r="B72" s="12" t="s">
        <v>76</v>
      </c>
      <c r="C72" s="12" t="s">
        <v>77</v>
      </c>
      <c r="D72" s="11" t="s">
        <v>123</v>
      </c>
      <c r="E72" s="12" t="s">
        <v>24</v>
      </c>
      <c r="F72" s="17" t="s">
        <v>8</v>
      </c>
      <c r="G72" s="18">
        <v>20.0</v>
      </c>
      <c r="H72" s="15">
        <f>Details!B72</f>
        <v>26</v>
      </c>
      <c r="I72" s="16">
        <v>0.0</v>
      </c>
      <c r="J72" s="16">
        <f t="shared" si="1"/>
        <v>100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10" t="s">
        <v>38</v>
      </c>
      <c r="B73" s="12" t="s">
        <v>76</v>
      </c>
      <c r="C73" s="12" t="s">
        <v>77</v>
      </c>
      <c r="D73" s="11" t="s">
        <v>124</v>
      </c>
      <c r="E73" s="12" t="s">
        <v>24</v>
      </c>
      <c r="F73" s="17" t="s">
        <v>8</v>
      </c>
      <c r="G73" s="18">
        <v>13.0</v>
      </c>
      <c r="H73" s="15">
        <f>Details!B73</f>
        <v>25</v>
      </c>
      <c r="I73" s="16">
        <v>0.0</v>
      </c>
      <c r="J73" s="16">
        <f t="shared" si="1"/>
        <v>100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13" t="s">
        <v>38</v>
      </c>
      <c r="B74" s="12" t="s">
        <v>51</v>
      </c>
      <c r="C74" s="12" t="s">
        <v>77</v>
      </c>
      <c r="D74" s="11" t="s">
        <v>125</v>
      </c>
      <c r="E74" s="12" t="s">
        <v>32</v>
      </c>
      <c r="F74" s="17" t="s">
        <v>8</v>
      </c>
      <c r="G74" s="18">
        <v>15.0</v>
      </c>
      <c r="H74" s="15">
        <f>Details!B74</f>
        <v>36</v>
      </c>
      <c r="I74" s="16">
        <v>0.0</v>
      </c>
      <c r="J74" s="16">
        <f t="shared" si="1"/>
        <v>100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13" t="s">
        <v>60</v>
      </c>
      <c r="B75" s="12" t="s">
        <v>21</v>
      </c>
      <c r="C75" s="12" t="s">
        <v>39</v>
      </c>
      <c r="D75" s="12" t="s">
        <v>126</v>
      </c>
      <c r="E75" s="12" t="s">
        <v>24</v>
      </c>
      <c r="F75" s="17" t="s">
        <v>8</v>
      </c>
      <c r="G75" s="15">
        <v>30.0</v>
      </c>
      <c r="H75" s="15">
        <f>Details!B75</f>
        <v>30</v>
      </c>
      <c r="I75" s="16">
        <v>0.0</v>
      </c>
      <c r="J75" s="16">
        <f t="shared" si="1"/>
        <v>100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13" t="s">
        <v>26</v>
      </c>
      <c r="B76" s="12" t="s">
        <v>127</v>
      </c>
      <c r="C76" s="12" t="s">
        <v>39</v>
      </c>
      <c r="D76" s="12" t="s">
        <v>128</v>
      </c>
      <c r="E76" s="12" t="s">
        <v>28</v>
      </c>
      <c r="F76" s="17" t="s">
        <v>6</v>
      </c>
      <c r="G76" s="15">
        <v>5.0</v>
      </c>
      <c r="H76" s="15">
        <f>Details!B76</f>
        <v>5</v>
      </c>
      <c r="I76" s="16">
        <v>0.0</v>
      </c>
      <c r="J76" s="16">
        <f t="shared" si="1"/>
        <v>100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13" t="s">
        <v>26</v>
      </c>
      <c r="B77" s="12" t="s">
        <v>127</v>
      </c>
      <c r="C77" s="12" t="s">
        <v>39</v>
      </c>
      <c r="D77" s="12" t="s">
        <v>129</v>
      </c>
      <c r="E77" s="12" t="s">
        <v>24</v>
      </c>
      <c r="F77" s="17" t="s">
        <v>4</v>
      </c>
      <c r="G77" s="15">
        <v>5.0</v>
      </c>
      <c r="H77" s="15">
        <f>Details!B77</f>
        <v>15</v>
      </c>
      <c r="I77" s="16">
        <v>0.0</v>
      </c>
      <c r="J77" s="16">
        <f t="shared" si="1"/>
        <v>100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13" t="s">
        <v>26</v>
      </c>
      <c r="B78" s="12" t="s">
        <v>127</v>
      </c>
      <c r="C78" s="12" t="s">
        <v>39</v>
      </c>
      <c r="D78" s="12" t="s">
        <v>130</v>
      </c>
      <c r="E78" s="12" t="s">
        <v>32</v>
      </c>
      <c r="F78" s="17" t="s">
        <v>4</v>
      </c>
      <c r="G78" s="15">
        <v>10.0</v>
      </c>
      <c r="H78" s="15">
        <f>Details!B78</f>
        <v>10</v>
      </c>
      <c r="I78" s="16">
        <v>0.0</v>
      </c>
      <c r="J78" s="16">
        <f t="shared" si="1"/>
        <v>100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13" t="s">
        <v>26</v>
      </c>
      <c r="B79" s="12" t="s">
        <v>127</v>
      </c>
      <c r="C79" s="12" t="s">
        <v>39</v>
      </c>
      <c r="D79" s="12" t="s">
        <v>131</v>
      </c>
      <c r="E79" s="12" t="s">
        <v>32</v>
      </c>
      <c r="F79" s="17" t="s">
        <v>4</v>
      </c>
      <c r="G79" s="15">
        <v>10.0</v>
      </c>
      <c r="H79" s="15">
        <f>Details!B79</f>
        <v>10</v>
      </c>
      <c r="I79" s="16">
        <v>0.0</v>
      </c>
      <c r="J79" s="16">
        <f t="shared" si="1"/>
        <v>100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13" t="s">
        <v>60</v>
      </c>
      <c r="B80" s="12" t="s">
        <v>127</v>
      </c>
      <c r="C80" s="12" t="s">
        <v>39</v>
      </c>
      <c r="D80" s="12" t="s">
        <v>132</v>
      </c>
      <c r="E80" s="12" t="s">
        <v>41</v>
      </c>
      <c r="F80" s="17" t="s">
        <v>4</v>
      </c>
      <c r="G80" s="15">
        <v>5.0</v>
      </c>
      <c r="H80" s="15">
        <f>Details!B80</f>
        <v>15</v>
      </c>
      <c r="I80" s="16">
        <v>0.0</v>
      </c>
      <c r="J80" s="16">
        <f t="shared" si="1"/>
        <v>100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13" t="s">
        <v>26</v>
      </c>
      <c r="B81" s="12" t="s">
        <v>56</v>
      </c>
      <c r="C81" s="12" t="s">
        <v>62</v>
      </c>
      <c r="D81" s="12" t="s">
        <v>133</v>
      </c>
      <c r="E81" s="12" t="s">
        <v>28</v>
      </c>
      <c r="F81" s="17" t="s">
        <v>6</v>
      </c>
      <c r="G81" s="15">
        <v>5.0</v>
      </c>
      <c r="H81" s="15">
        <f>Details!B81</f>
        <v>10</v>
      </c>
      <c r="I81" s="16">
        <v>0.0</v>
      </c>
      <c r="J81" s="16">
        <f t="shared" si="1"/>
        <v>100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13" t="s">
        <v>60</v>
      </c>
      <c r="B82" s="12" t="s">
        <v>56</v>
      </c>
      <c r="C82" s="12" t="s">
        <v>62</v>
      </c>
      <c r="D82" s="12" t="s">
        <v>134</v>
      </c>
      <c r="E82" s="12" t="s">
        <v>43</v>
      </c>
      <c r="F82" s="17" t="s">
        <v>4</v>
      </c>
      <c r="G82" s="15">
        <v>10.0</v>
      </c>
      <c r="H82" s="15">
        <f>Details!B82</f>
        <v>7</v>
      </c>
      <c r="I82" s="16">
        <v>0.0</v>
      </c>
      <c r="J82" s="16">
        <f t="shared" si="1"/>
        <v>100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13" t="s">
        <v>60</v>
      </c>
      <c r="B83" s="12" t="s">
        <v>56</v>
      </c>
      <c r="C83" s="12" t="s">
        <v>62</v>
      </c>
      <c r="D83" s="12" t="s">
        <v>135</v>
      </c>
      <c r="E83" s="12" t="s">
        <v>32</v>
      </c>
      <c r="F83" s="17" t="s">
        <v>4</v>
      </c>
      <c r="G83" s="15">
        <v>5.0</v>
      </c>
      <c r="H83" s="15">
        <f>Details!B83</f>
        <v>8</v>
      </c>
      <c r="I83" s="16">
        <v>0.0</v>
      </c>
      <c r="J83" s="16">
        <f t="shared" si="1"/>
        <v>100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13" t="s">
        <v>38</v>
      </c>
      <c r="B84" s="12" t="s">
        <v>56</v>
      </c>
      <c r="C84" s="12" t="s">
        <v>57</v>
      </c>
      <c r="D84" s="12" t="s">
        <v>136</v>
      </c>
      <c r="E84" s="12" t="s">
        <v>43</v>
      </c>
      <c r="F84" s="17" t="s">
        <v>2</v>
      </c>
      <c r="G84" s="15">
        <v>5.0</v>
      </c>
      <c r="H84" s="15">
        <f>Details!B84</f>
        <v>10</v>
      </c>
      <c r="I84" s="16">
        <v>0.0</v>
      </c>
      <c r="J84" s="16">
        <f t="shared" si="1"/>
        <v>100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13" t="s">
        <v>38</v>
      </c>
      <c r="B85" s="12" t="s">
        <v>56</v>
      </c>
      <c r="C85" s="12" t="s">
        <v>57</v>
      </c>
      <c r="D85" s="12" t="s">
        <v>137</v>
      </c>
      <c r="E85" s="12" t="s">
        <v>32</v>
      </c>
      <c r="F85" s="17" t="s">
        <v>2</v>
      </c>
      <c r="G85" s="15">
        <v>10.0</v>
      </c>
      <c r="H85" s="15">
        <f>Details!B85</f>
        <v>15</v>
      </c>
      <c r="I85" s="16">
        <v>0.0</v>
      </c>
      <c r="J85" s="16">
        <f t="shared" si="1"/>
        <v>100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13" t="s">
        <v>38</v>
      </c>
      <c r="B86" s="12" t="s">
        <v>56</v>
      </c>
      <c r="C86" s="12" t="s">
        <v>57</v>
      </c>
      <c r="D86" s="12" t="s">
        <v>138</v>
      </c>
      <c r="E86" s="12" t="s">
        <v>43</v>
      </c>
      <c r="F86" s="17" t="s">
        <v>8</v>
      </c>
      <c r="G86" s="15">
        <v>5.0</v>
      </c>
      <c r="H86" s="15">
        <f>Details!B86</f>
        <v>5</v>
      </c>
      <c r="I86" s="16">
        <v>0.0</v>
      </c>
      <c r="J86" s="16">
        <f t="shared" si="1"/>
        <v>100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13" t="s">
        <v>38</v>
      </c>
      <c r="B87" s="12" t="s">
        <v>56</v>
      </c>
      <c r="C87" s="12" t="s">
        <v>53</v>
      </c>
      <c r="D87" s="12" t="s">
        <v>139</v>
      </c>
      <c r="E87" s="12" t="s">
        <v>32</v>
      </c>
      <c r="F87" s="17" t="s">
        <v>8</v>
      </c>
      <c r="G87" s="15">
        <v>10.0</v>
      </c>
      <c r="H87" s="15">
        <f>Details!B87</f>
        <v>15</v>
      </c>
      <c r="I87" s="16">
        <v>0.0</v>
      </c>
      <c r="J87" s="16">
        <f t="shared" si="1"/>
        <v>100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13" t="s">
        <v>38</v>
      </c>
      <c r="B88" s="12" t="s">
        <v>56</v>
      </c>
      <c r="C88" s="12" t="s">
        <v>57</v>
      </c>
      <c r="D88" s="12" t="s">
        <v>140</v>
      </c>
      <c r="E88" s="12" t="s">
        <v>41</v>
      </c>
      <c r="F88" s="17" t="s">
        <v>2</v>
      </c>
      <c r="G88" s="15">
        <v>5.0</v>
      </c>
      <c r="H88" s="15">
        <f>Details!B88</f>
        <v>5</v>
      </c>
      <c r="I88" s="16">
        <v>0.0</v>
      </c>
      <c r="J88" s="16">
        <f t="shared" si="1"/>
        <v>100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13" t="s">
        <v>38</v>
      </c>
      <c r="B89" s="12" t="s">
        <v>56</v>
      </c>
      <c r="C89" s="12" t="s">
        <v>57</v>
      </c>
      <c r="D89" s="12" t="s">
        <v>141</v>
      </c>
      <c r="E89" s="12" t="s">
        <v>43</v>
      </c>
      <c r="F89" s="17" t="s">
        <v>2</v>
      </c>
      <c r="G89" s="15">
        <v>15.0</v>
      </c>
      <c r="H89" s="15">
        <f>Details!B89</f>
        <v>15</v>
      </c>
      <c r="I89" s="16">
        <v>0.0</v>
      </c>
      <c r="J89" s="16">
        <f t="shared" si="1"/>
        <v>100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13" t="s">
        <v>142</v>
      </c>
      <c r="B90" s="12" t="s">
        <v>56</v>
      </c>
      <c r="C90" s="12" t="s">
        <v>62</v>
      </c>
      <c r="D90" s="12" t="s">
        <v>143</v>
      </c>
      <c r="E90" s="12" t="s">
        <v>32</v>
      </c>
      <c r="F90" s="17" t="s">
        <v>4</v>
      </c>
      <c r="G90" s="15">
        <v>5.0</v>
      </c>
      <c r="H90" s="15">
        <f>Details!B90</f>
        <v>10</v>
      </c>
      <c r="I90" s="16">
        <v>0.0</v>
      </c>
      <c r="J90" s="16">
        <f t="shared" si="1"/>
        <v>100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13" t="s">
        <v>142</v>
      </c>
      <c r="B91" s="12" t="s">
        <v>56</v>
      </c>
      <c r="C91" s="12" t="s">
        <v>91</v>
      </c>
      <c r="D91" s="12" t="s">
        <v>144</v>
      </c>
      <c r="E91" s="12" t="s">
        <v>43</v>
      </c>
      <c r="F91" s="17" t="s">
        <v>6</v>
      </c>
      <c r="G91" s="15">
        <v>5.0</v>
      </c>
      <c r="H91" s="15">
        <f>Details!B91</f>
        <v>7</v>
      </c>
      <c r="I91" s="16">
        <v>0.0</v>
      </c>
      <c r="J91" s="16">
        <f t="shared" si="1"/>
        <v>100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13" t="s">
        <v>142</v>
      </c>
      <c r="B92" s="12" t="s">
        <v>56</v>
      </c>
      <c r="C92" s="12" t="s">
        <v>91</v>
      </c>
      <c r="D92" s="12" t="s">
        <v>145</v>
      </c>
      <c r="E92" s="12" t="s">
        <v>41</v>
      </c>
      <c r="F92" s="17" t="s">
        <v>4</v>
      </c>
      <c r="G92" s="15">
        <v>5.0</v>
      </c>
      <c r="H92" s="15">
        <f>Details!B92</f>
        <v>30</v>
      </c>
      <c r="I92" s="16">
        <v>0.0</v>
      </c>
      <c r="J92" s="16">
        <f t="shared" si="1"/>
        <v>100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13" t="s">
        <v>60</v>
      </c>
      <c r="B93" s="12" t="s">
        <v>56</v>
      </c>
      <c r="C93" s="12" t="s">
        <v>91</v>
      </c>
      <c r="D93" s="12" t="s">
        <v>141</v>
      </c>
      <c r="E93" s="12" t="s">
        <v>43</v>
      </c>
      <c r="F93" s="17" t="s">
        <v>6</v>
      </c>
      <c r="G93" s="15">
        <v>15.0</v>
      </c>
      <c r="H93" s="15">
        <f>Details!B93</f>
        <v>15</v>
      </c>
      <c r="I93" s="16">
        <v>0.0</v>
      </c>
      <c r="J93" s="16">
        <f t="shared" si="1"/>
        <v>100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13" t="s">
        <v>38</v>
      </c>
      <c r="B94" s="12" t="s">
        <v>56</v>
      </c>
      <c r="C94" s="12" t="s">
        <v>146</v>
      </c>
      <c r="D94" s="12" t="s">
        <v>147</v>
      </c>
      <c r="E94" s="12" t="s">
        <v>32</v>
      </c>
      <c r="F94" s="17" t="s">
        <v>2</v>
      </c>
      <c r="G94" s="15">
        <v>5.0</v>
      </c>
      <c r="H94" s="15">
        <f>Details!B94</f>
        <v>8</v>
      </c>
      <c r="I94" s="16">
        <v>0.0</v>
      </c>
      <c r="J94" s="16">
        <f t="shared" si="1"/>
        <v>100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13" t="s">
        <v>38</v>
      </c>
      <c r="B95" s="12" t="s">
        <v>56</v>
      </c>
      <c r="C95" s="12" t="s">
        <v>146</v>
      </c>
      <c r="D95" s="12" t="s">
        <v>144</v>
      </c>
      <c r="E95" s="12" t="s">
        <v>43</v>
      </c>
      <c r="F95" s="17" t="s">
        <v>6</v>
      </c>
      <c r="G95" s="15">
        <v>5.0</v>
      </c>
      <c r="H95" s="15">
        <f>Details!B95</f>
        <v>8</v>
      </c>
      <c r="I95" s="16">
        <v>0.0</v>
      </c>
      <c r="J95" s="16">
        <f t="shared" si="1"/>
        <v>100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13" t="s">
        <v>38</v>
      </c>
      <c r="B96" s="12" t="s">
        <v>56</v>
      </c>
      <c r="C96" s="12" t="s">
        <v>146</v>
      </c>
      <c r="D96" s="12" t="s">
        <v>145</v>
      </c>
      <c r="E96" s="12" t="s">
        <v>41</v>
      </c>
      <c r="F96" s="17" t="s">
        <v>6</v>
      </c>
      <c r="G96" s="15">
        <v>5.0</v>
      </c>
      <c r="H96" s="15">
        <f>Details!B96</f>
        <v>5</v>
      </c>
      <c r="I96" s="16">
        <v>0.0</v>
      </c>
      <c r="J96" s="16">
        <f t="shared" si="1"/>
        <v>100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13" t="s">
        <v>38</v>
      </c>
      <c r="B97" s="12" t="s">
        <v>56</v>
      </c>
      <c r="C97" s="12" t="s">
        <v>146</v>
      </c>
      <c r="D97" s="12" t="s">
        <v>141</v>
      </c>
      <c r="E97" s="12" t="s">
        <v>43</v>
      </c>
      <c r="F97" s="17" t="s">
        <v>6</v>
      </c>
      <c r="G97" s="15">
        <v>5.0</v>
      </c>
      <c r="H97" s="15">
        <f>Details!B97</f>
        <v>17</v>
      </c>
      <c r="I97" s="16">
        <v>0.0</v>
      </c>
      <c r="J97" s="16">
        <f t="shared" si="1"/>
        <v>100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13" t="s">
        <v>38</v>
      </c>
      <c r="B98" s="12" t="s">
        <v>56</v>
      </c>
      <c r="C98" s="12" t="s">
        <v>57</v>
      </c>
      <c r="D98" s="12" t="s">
        <v>148</v>
      </c>
      <c r="E98" s="12" t="s">
        <v>43</v>
      </c>
      <c r="F98" s="17" t="s">
        <v>6</v>
      </c>
      <c r="G98" s="15">
        <v>5.0</v>
      </c>
      <c r="H98" s="15">
        <f>Details!B98</f>
        <v>15</v>
      </c>
      <c r="I98" s="16">
        <v>0.0</v>
      </c>
      <c r="J98" s="16">
        <f t="shared" si="1"/>
        <v>100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13" t="s">
        <v>38</v>
      </c>
      <c r="B99" s="12" t="s">
        <v>56</v>
      </c>
      <c r="C99" s="12" t="s">
        <v>57</v>
      </c>
      <c r="D99" s="12" t="s">
        <v>149</v>
      </c>
      <c r="E99" s="12" t="s">
        <v>32</v>
      </c>
      <c r="F99" s="17" t="s">
        <v>2</v>
      </c>
      <c r="G99" s="15">
        <v>5.0</v>
      </c>
      <c r="H99" s="15">
        <f>Details!B99</f>
        <v>15</v>
      </c>
      <c r="I99" s="16">
        <v>0.0</v>
      </c>
      <c r="J99" s="16">
        <f t="shared" si="1"/>
        <v>100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13" t="s">
        <v>38</v>
      </c>
      <c r="B100" s="12" t="s">
        <v>56</v>
      </c>
      <c r="C100" s="12" t="s">
        <v>57</v>
      </c>
      <c r="D100" s="12" t="s">
        <v>150</v>
      </c>
      <c r="E100" s="12" t="s">
        <v>41</v>
      </c>
      <c r="F100" s="17" t="s">
        <v>6</v>
      </c>
      <c r="G100" s="15">
        <v>5.0</v>
      </c>
      <c r="H100" s="15">
        <f>Details!B100</f>
        <v>12</v>
      </c>
      <c r="I100" s="16">
        <v>0.0</v>
      </c>
      <c r="J100" s="16">
        <f t="shared" si="1"/>
        <v>100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13" t="s">
        <v>38</v>
      </c>
      <c r="B101" s="12" t="s">
        <v>151</v>
      </c>
      <c r="C101" s="12" t="s">
        <v>152</v>
      </c>
      <c r="D101" s="12" t="s">
        <v>153</v>
      </c>
      <c r="E101" s="12" t="s">
        <v>32</v>
      </c>
      <c r="F101" s="17" t="s">
        <v>2</v>
      </c>
      <c r="G101" s="15">
        <v>10.0</v>
      </c>
      <c r="H101" s="15">
        <f>Details!B101</f>
        <v>20</v>
      </c>
      <c r="I101" s="16">
        <v>0.0</v>
      </c>
      <c r="J101" s="16">
        <f t="shared" si="1"/>
        <v>100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13" t="s">
        <v>38</v>
      </c>
      <c r="B102" s="12" t="s">
        <v>151</v>
      </c>
      <c r="C102" s="12" t="s">
        <v>152</v>
      </c>
      <c r="D102" s="12" t="s">
        <v>154</v>
      </c>
      <c r="E102" s="12" t="s">
        <v>43</v>
      </c>
      <c r="F102" s="17" t="s">
        <v>6</v>
      </c>
      <c r="G102" s="15">
        <v>5.0</v>
      </c>
      <c r="H102" s="15">
        <f>Details!B102</f>
        <v>5</v>
      </c>
      <c r="I102" s="16">
        <v>0.0</v>
      </c>
      <c r="J102" s="16">
        <f t="shared" si="1"/>
        <v>100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13" t="s">
        <v>38</v>
      </c>
      <c r="B103" s="12" t="s">
        <v>151</v>
      </c>
      <c r="C103" s="12" t="s">
        <v>152</v>
      </c>
      <c r="D103" s="12" t="s">
        <v>155</v>
      </c>
      <c r="E103" s="12" t="s">
        <v>41</v>
      </c>
      <c r="F103" s="17" t="s">
        <v>2</v>
      </c>
      <c r="G103" s="15">
        <v>5.0</v>
      </c>
      <c r="H103" s="15">
        <f>Details!B103</f>
        <v>5</v>
      </c>
      <c r="I103" s="16">
        <v>0.0</v>
      </c>
      <c r="J103" s="16">
        <f t="shared" si="1"/>
        <v>100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13" t="s">
        <v>38</v>
      </c>
      <c r="B104" s="12" t="s">
        <v>51</v>
      </c>
      <c r="C104" s="12" t="s">
        <v>53</v>
      </c>
      <c r="D104" s="12" t="s">
        <v>156</v>
      </c>
      <c r="E104" s="12" t="s">
        <v>32</v>
      </c>
      <c r="F104" s="17" t="s">
        <v>8</v>
      </c>
      <c r="G104" s="15">
        <v>25.0</v>
      </c>
      <c r="H104" s="15">
        <f>Details!B104</f>
        <v>35</v>
      </c>
      <c r="I104" s="16">
        <v>0.0</v>
      </c>
      <c r="J104" s="16">
        <f t="shared" si="1"/>
        <v>100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13" t="s">
        <v>50</v>
      </c>
      <c r="B105" s="12" t="s">
        <v>21</v>
      </c>
      <c r="C105" s="12" t="s">
        <v>39</v>
      </c>
      <c r="D105" s="12" t="s">
        <v>157</v>
      </c>
      <c r="E105" s="12" t="s">
        <v>43</v>
      </c>
      <c r="F105" s="17" t="s">
        <v>2</v>
      </c>
      <c r="G105" s="15">
        <v>30.0</v>
      </c>
      <c r="H105" s="15">
        <f>Details!B105</f>
        <v>25</v>
      </c>
      <c r="I105" s="16">
        <v>0.0</v>
      </c>
      <c r="J105" s="16">
        <f t="shared" si="1"/>
        <v>100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13" t="s">
        <v>158</v>
      </c>
      <c r="B106" s="12" t="s">
        <v>21</v>
      </c>
      <c r="C106" s="12" t="s">
        <v>22</v>
      </c>
      <c r="D106" s="12" t="s">
        <v>159</v>
      </c>
      <c r="E106" s="12" t="s">
        <v>28</v>
      </c>
      <c r="F106" s="17" t="s">
        <v>6</v>
      </c>
      <c r="G106" s="15">
        <v>15.0</v>
      </c>
      <c r="H106" s="15">
        <f>Details!B106</f>
        <v>15</v>
      </c>
      <c r="I106" s="16">
        <v>0.0</v>
      </c>
      <c r="J106" s="16">
        <f t="shared" si="1"/>
        <v>100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13" t="s">
        <v>60</v>
      </c>
      <c r="B107" s="12" t="s">
        <v>56</v>
      </c>
      <c r="C107" s="12" t="s">
        <v>62</v>
      </c>
      <c r="D107" s="12" t="s">
        <v>160</v>
      </c>
      <c r="E107" s="12" t="s">
        <v>28</v>
      </c>
      <c r="F107" s="17" t="s">
        <v>2</v>
      </c>
      <c r="G107" s="15">
        <v>10.0</v>
      </c>
      <c r="H107" s="15">
        <f>Details!B107</f>
        <v>10</v>
      </c>
      <c r="I107" s="16">
        <v>0.0</v>
      </c>
      <c r="J107" s="16">
        <f t="shared" si="1"/>
        <v>100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13" t="s">
        <v>38</v>
      </c>
      <c r="B108" s="12" t="s">
        <v>56</v>
      </c>
      <c r="C108" s="12" t="s">
        <v>77</v>
      </c>
      <c r="D108" s="12" t="s">
        <v>161</v>
      </c>
      <c r="E108" s="12" t="s">
        <v>28</v>
      </c>
      <c r="F108" s="17" t="s">
        <v>8</v>
      </c>
      <c r="G108" s="15">
        <v>5.0</v>
      </c>
      <c r="H108" s="15">
        <f>Details!B108</f>
        <v>5</v>
      </c>
      <c r="I108" s="16">
        <v>0.0</v>
      </c>
      <c r="J108" s="16">
        <f t="shared" si="1"/>
        <v>100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13" t="s">
        <v>38</v>
      </c>
      <c r="B109" s="12" t="s">
        <v>56</v>
      </c>
      <c r="C109" s="12" t="s">
        <v>77</v>
      </c>
      <c r="D109" s="12" t="s">
        <v>162</v>
      </c>
      <c r="E109" s="12" t="s">
        <v>43</v>
      </c>
      <c r="F109" s="17" t="s">
        <v>2</v>
      </c>
      <c r="G109" s="15">
        <v>20.0</v>
      </c>
      <c r="H109" s="15">
        <f>Details!B109</f>
        <v>20</v>
      </c>
      <c r="I109" s="16">
        <v>0.0</v>
      </c>
      <c r="J109" s="16">
        <f t="shared" si="1"/>
        <v>100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13" t="s">
        <v>38</v>
      </c>
      <c r="B110" s="12" t="s">
        <v>76</v>
      </c>
      <c r="C110" s="12" t="s">
        <v>77</v>
      </c>
      <c r="D110" s="12" t="s">
        <v>163</v>
      </c>
      <c r="E110" s="12" t="s">
        <v>32</v>
      </c>
      <c r="F110" s="17" t="s">
        <v>8</v>
      </c>
      <c r="G110" s="15">
        <v>15.0</v>
      </c>
      <c r="H110" s="15">
        <f>Details!B110</f>
        <v>15</v>
      </c>
      <c r="I110" s="16">
        <v>0.0</v>
      </c>
      <c r="J110" s="16">
        <f t="shared" si="1"/>
        <v>100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13" t="s">
        <v>60</v>
      </c>
      <c r="B111" s="12" t="s">
        <v>21</v>
      </c>
      <c r="C111" s="12" t="s">
        <v>22</v>
      </c>
      <c r="D111" s="12" t="s">
        <v>164</v>
      </c>
      <c r="E111" s="12" t="s">
        <v>24</v>
      </c>
      <c r="F111" s="17" t="s">
        <v>4</v>
      </c>
      <c r="G111" s="15">
        <v>20.0</v>
      </c>
      <c r="H111" s="15">
        <f>Details!B111</f>
        <v>20</v>
      </c>
      <c r="I111" s="16">
        <v>0.0</v>
      </c>
      <c r="J111" s="16">
        <f t="shared" si="1"/>
        <v>100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13" t="s">
        <v>38</v>
      </c>
      <c r="B112" s="12" t="s">
        <v>21</v>
      </c>
      <c r="C112" s="12" t="s">
        <v>22</v>
      </c>
      <c r="D112" s="12" t="s">
        <v>165</v>
      </c>
      <c r="E112" s="12" t="s">
        <v>24</v>
      </c>
      <c r="F112" s="17" t="s">
        <v>6</v>
      </c>
      <c r="G112" s="15">
        <v>20.0</v>
      </c>
      <c r="H112" s="15">
        <f>Details!B112</f>
        <v>20</v>
      </c>
      <c r="I112" s="16">
        <v>0.0</v>
      </c>
      <c r="J112" s="16">
        <f t="shared" si="1"/>
        <v>100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13" t="s">
        <v>38</v>
      </c>
      <c r="B113" s="12" t="s">
        <v>76</v>
      </c>
      <c r="C113" s="12" t="s">
        <v>146</v>
      </c>
      <c r="D113" s="12" t="s">
        <v>166</v>
      </c>
      <c r="E113" s="12" t="s">
        <v>41</v>
      </c>
      <c r="F113" s="17" t="s">
        <v>2</v>
      </c>
      <c r="G113" s="15">
        <v>5.0</v>
      </c>
      <c r="H113" s="15">
        <f>Details!B113</f>
        <v>5</v>
      </c>
      <c r="I113" s="16">
        <v>0.0</v>
      </c>
      <c r="J113" s="16">
        <f t="shared" si="1"/>
        <v>100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</sheetData>
  <autoFilter ref="$A$1:$J$104"/>
  <dataValidations>
    <dataValidation type="list" allowBlank="1" sqref="C2:C113">
      <formula1>"No page,Global,Admin/Login,Admin/Signup,User/Login,Admin/Deblocage,Web/Recapilation,Web/User,Mobile/Synchronisation,Web/Synchronisation,Web/Signalement,Mobile/Signalement,Mobile/Carte,Recapitulation,Admin/Problemes,Web/Recapitulation,Mobile/Recapitulation"&amp;",Web/Statistiques,Web/Carte"</formula1>
    </dataValidation>
    <dataValidation type="list" allowBlank="1" sqref="F2:F113">
      <formula1>"ETU003256,ETU003315,ETU003287,ETU003326"</formula1>
    </dataValidation>
    <dataValidation type="list" allowBlank="1" sqref="A2:A113">
      <formula1>"API,Web,Mobile"</formula1>
    </dataValidation>
    <dataValidation type="custom" allowBlank="1" showDropDown="1" sqref="G2:G113">
      <formula1>AND(ISNUMBER(G2),(NOT(OR(NOT(ISERROR(DATEVALUE(G2))), AND(ISNUMBER(G2), LEFT(CELL("format", G2))="D")))))</formula1>
    </dataValidation>
    <dataValidation type="list" allowBlank="1" sqref="E2:E113">
      <formula1>"Affichage,Metier,Integration,Tier,Base de donnee"</formula1>
    </dataValidation>
    <dataValidation allowBlank="1" showDropDown="1" sqref="D2:D113"/>
    <dataValidation type="list" allowBlank="1" sqref="B2:B113">
      <formula1>"Login,Inscription,Update Infos User,Duree Vie Session,Suivis probleme,Tableau Recapitualtion,Synchronisation,Signalement,Filtre,Tiers,Logout,Notifications,Statistiques"</formula1>
    </dataValidation>
  </dataValidations>
  <printOptions/>
  <pageMargins bottom="0.75" footer="0.0" header="0.0" left="0.7" right="0.7" top="0.75"/>
  <pageSetup fitToHeight="0" orientation="portrait" paperHeight="11in" paperWidth="11i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22.5" customHeight="1">
      <c r="A1" s="1" t="s">
        <v>167</v>
      </c>
      <c r="B1" s="21" t="s">
        <v>168</v>
      </c>
      <c r="C1" s="1" t="s">
        <v>169</v>
      </c>
      <c r="D1" s="1" t="s">
        <v>170</v>
      </c>
      <c r="E1" s="22" t="s">
        <v>171</v>
      </c>
      <c r="F1" s="23" t="s">
        <v>172</v>
      </c>
      <c r="G1" s="23" t="s">
        <v>173</v>
      </c>
      <c r="H1" s="23" t="s">
        <v>174</v>
      </c>
      <c r="I1" s="23" t="s">
        <v>175</v>
      </c>
      <c r="J1" s="23" t="s">
        <v>176</v>
      </c>
      <c r="K1" s="23" t="s">
        <v>177</v>
      </c>
    </row>
    <row r="2" ht="22.5" customHeight="1">
      <c r="A2" s="24">
        <v>2.0</v>
      </c>
      <c r="B2" s="24">
        <f t="shared" ref="B2:B113" si="1">sum(C2:Q2)</f>
        <v>15</v>
      </c>
      <c r="C2" s="24">
        <v>15.0</v>
      </c>
      <c r="E2" s="25"/>
      <c r="F2" s="25"/>
      <c r="G2" s="25"/>
      <c r="H2" s="25"/>
      <c r="I2" s="25"/>
      <c r="J2" s="25"/>
      <c r="K2" s="25"/>
    </row>
    <row r="3" ht="22.5" customHeight="1">
      <c r="A3" s="26">
        <v>3.0</v>
      </c>
      <c r="B3" s="26">
        <f t="shared" si="1"/>
        <v>10</v>
      </c>
      <c r="C3" s="27">
        <v>10.0</v>
      </c>
      <c r="D3" s="25"/>
      <c r="E3" s="25"/>
      <c r="F3" s="25"/>
      <c r="G3" s="25"/>
      <c r="H3" s="25"/>
      <c r="I3" s="25"/>
      <c r="J3" s="25"/>
      <c r="K3" s="25"/>
    </row>
    <row r="4" ht="22.5" customHeight="1">
      <c r="A4" s="26">
        <v>4.0</v>
      </c>
      <c r="B4" s="26">
        <f t="shared" si="1"/>
        <v>15</v>
      </c>
      <c r="C4" s="27">
        <v>15.0</v>
      </c>
      <c r="D4" s="25"/>
      <c r="E4" s="25"/>
      <c r="F4" s="25"/>
      <c r="G4" s="25"/>
      <c r="H4" s="25"/>
      <c r="I4" s="25"/>
      <c r="J4" s="25"/>
      <c r="K4" s="25"/>
    </row>
    <row r="5" ht="22.5" customHeight="1">
      <c r="A5" s="24">
        <v>5.0</v>
      </c>
      <c r="B5" s="24">
        <f t="shared" si="1"/>
        <v>15</v>
      </c>
      <c r="C5" s="27">
        <v>15.0</v>
      </c>
      <c r="D5" s="25"/>
      <c r="E5" s="25"/>
      <c r="F5" s="25"/>
      <c r="G5" s="25"/>
      <c r="H5" s="25"/>
      <c r="I5" s="25"/>
      <c r="J5" s="25"/>
      <c r="K5" s="25"/>
      <c r="P5" s="28" t="s">
        <v>178</v>
      </c>
    </row>
    <row r="6" ht="22.5" customHeight="1">
      <c r="A6" s="26">
        <v>6.0</v>
      </c>
      <c r="B6" s="26">
        <f t="shared" si="1"/>
        <v>12</v>
      </c>
      <c r="C6" s="27">
        <v>12.0</v>
      </c>
      <c r="D6" s="25"/>
      <c r="E6" s="25"/>
      <c r="F6" s="25"/>
      <c r="G6" s="25"/>
      <c r="H6" s="25"/>
      <c r="I6" s="25"/>
      <c r="J6" s="25"/>
      <c r="K6" s="25"/>
    </row>
    <row r="7" ht="22.5" customHeight="1">
      <c r="A7" s="26">
        <v>7.0</v>
      </c>
      <c r="B7" s="26">
        <f t="shared" si="1"/>
        <v>10</v>
      </c>
      <c r="C7" s="27">
        <v>10.0</v>
      </c>
      <c r="D7" s="25"/>
      <c r="E7" s="25"/>
      <c r="F7" s="25"/>
      <c r="G7" s="25"/>
      <c r="H7" s="25"/>
      <c r="I7" s="25"/>
      <c r="J7" s="25"/>
      <c r="K7" s="25"/>
    </row>
    <row r="8" ht="22.5" customHeight="1">
      <c r="A8" s="24">
        <v>8.0</v>
      </c>
      <c r="B8" s="24">
        <f t="shared" si="1"/>
        <v>10</v>
      </c>
      <c r="C8" s="27">
        <v>10.0</v>
      </c>
      <c r="D8" s="25"/>
      <c r="E8" s="25"/>
      <c r="F8" s="25"/>
      <c r="G8" s="25"/>
      <c r="H8" s="25"/>
      <c r="I8" s="25"/>
      <c r="J8" s="25"/>
      <c r="K8" s="25"/>
    </row>
    <row r="9" ht="22.5" customHeight="1">
      <c r="A9" s="26">
        <v>9.0</v>
      </c>
      <c r="B9" s="26">
        <f t="shared" si="1"/>
        <v>15</v>
      </c>
      <c r="C9" s="27">
        <v>15.0</v>
      </c>
      <c r="D9" s="25"/>
      <c r="E9" s="25"/>
      <c r="F9" s="25"/>
      <c r="G9" s="25"/>
      <c r="H9" s="25"/>
      <c r="I9" s="25"/>
      <c r="J9" s="25"/>
      <c r="K9" s="25"/>
    </row>
    <row r="10" ht="22.5" customHeight="1">
      <c r="A10" s="26">
        <v>10.0</v>
      </c>
      <c r="B10" s="26">
        <f t="shared" si="1"/>
        <v>15</v>
      </c>
      <c r="C10" s="27">
        <v>15.0</v>
      </c>
      <c r="D10" s="25"/>
      <c r="E10" s="25"/>
      <c r="F10" s="25"/>
      <c r="G10" s="25"/>
      <c r="H10" s="25"/>
      <c r="I10" s="25"/>
      <c r="J10" s="25"/>
      <c r="K10" s="25"/>
    </row>
    <row r="11" ht="22.5" customHeight="1">
      <c r="A11" s="24">
        <v>11.0</v>
      </c>
      <c r="B11" s="24">
        <f t="shared" si="1"/>
        <v>10</v>
      </c>
      <c r="C11" s="27">
        <v>10.0</v>
      </c>
      <c r="D11" s="25"/>
      <c r="E11" s="25"/>
      <c r="F11" s="25"/>
      <c r="G11" s="25"/>
      <c r="H11" s="25"/>
      <c r="I11" s="25"/>
      <c r="J11" s="25"/>
      <c r="K11" s="25"/>
    </row>
    <row r="12" ht="22.5" customHeight="1">
      <c r="A12" s="26">
        <v>12.0</v>
      </c>
      <c r="B12" s="26">
        <f t="shared" si="1"/>
        <v>11</v>
      </c>
      <c r="C12" s="27">
        <v>11.0</v>
      </c>
      <c r="D12" s="25"/>
      <c r="E12" s="25"/>
      <c r="F12" s="25"/>
      <c r="G12" s="25"/>
      <c r="H12" s="25"/>
      <c r="I12" s="25"/>
      <c r="J12" s="25"/>
      <c r="K12" s="25"/>
    </row>
    <row r="13" ht="22.5" customHeight="1">
      <c r="A13" s="26">
        <v>13.0</v>
      </c>
      <c r="B13" s="26">
        <f t="shared" si="1"/>
        <v>15</v>
      </c>
      <c r="C13" s="27">
        <v>15.0</v>
      </c>
      <c r="D13" s="25"/>
      <c r="E13" s="25"/>
      <c r="F13" s="25"/>
      <c r="G13" s="25"/>
      <c r="H13" s="25"/>
      <c r="I13" s="25"/>
      <c r="J13" s="25"/>
      <c r="K13" s="25"/>
    </row>
    <row r="14" ht="22.5" customHeight="1">
      <c r="A14" s="24">
        <v>14.0</v>
      </c>
      <c r="B14" s="24">
        <f t="shared" si="1"/>
        <v>15</v>
      </c>
      <c r="C14" s="27">
        <v>15.0</v>
      </c>
      <c r="D14" s="25"/>
      <c r="E14" s="25"/>
      <c r="F14" s="25"/>
      <c r="G14" s="25"/>
      <c r="H14" s="25"/>
      <c r="I14" s="25"/>
      <c r="J14" s="25"/>
      <c r="K14" s="25"/>
    </row>
    <row r="15" ht="22.5" customHeight="1">
      <c r="A15" s="26">
        <v>15.0</v>
      </c>
      <c r="B15" s="26">
        <f t="shared" si="1"/>
        <v>15</v>
      </c>
      <c r="C15" s="27">
        <v>15.0</v>
      </c>
      <c r="D15" s="25"/>
      <c r="E15" s="25"/>
      <c r="F15" s="25"/>
      <c r="G15" s="25"/>
      <c r="H15" s="25"/>
      <c r="I15" s="25"/>
      <c r="J15" s="25"/>
      <c r="K15" s="25"/>
    </row>
    <row r="16" ht="22.5" customHeight="1">
      <c r="A16" s="26">
        <v>16.0</v>
      </c>
      <c r="B16" s="26">
        <f t="shared" si="1"/>
        <v>7</v>
      </c>
      <c r="C16" s="27">
        <v>7.0</v>
      </c>
      <c r="D16" s="25"/>
      <c r="E16" s="25"/>
      <c r="F16" s="25"/>
      <c r="G16" s="25"/>
      <c r="H16" s="25"/>
      <c r="I16" s="25"/>
      <c r="J16" s="25"/>
      <c r="K16" s="25"/>
    </row>
    <row r="17" ht="22.5" customHeight="1">
      <c r="A17" s="24">
        <v>17.0</v>
      </c>
      <c r="B17" s="24">
        <f t="shared" si="1"/>
        <v>6</v>
      </c>
      <c r="C17" s="27">
        <v>6.0</v>
      </c>
      <c r="D17" s="25"/>
      <c r="E17" s="25"/>
      <c r="F17" s="25"/>
      <c r="G17" s="25"/>
      <c r="H17" s="25"/>
      <c r="I17" s="25"/>
      <c r="J17" s="25"/>
      <c r="K17" s="25"/>
    </row>
    <row r="18" ht="22.5" customHeight="1">
      <c r="A18" s="26">
        <v>18.0</v>
      </c>
      <c r="B18" s="26">
        <f t="shared" si="1"/>
        <v>5</v>
      </c>
      <c r="C18" s="27">
        <v>5.0</v>
      </c>
      <c r="D18" s="25"/>
      <c r="E18" s="25"/>
      <c r="F18" s="25"/>
      <c r="G18" s="25"/>
      <c r="H18" s="25"/>
      <c r="I18" s="25"/>
      <c r="J18" s="25"/>
      <c r="K18" s="25"/>
    </row>
    <row r="19" ht="22.5" customHeight="1">
      <c r="A19" s="26">
        <v>19.0</v>
      </c>
      <c r="B19" s="26">
        <f t="shared" si="1"/>
        <v>12</v>
      </c>
      <c r="C19" s="27">
        <v>12.0</v>
      </c>
      <c r="D19" s="25"/>
      <c r="E19" s="25"/>
      <c r="F19" s="25"/>
      <c r="G19" s="25"/>
      <c r="H19" s="25"/>
      <c r="I19" s="25"/>
      <c r="J19" s="25"/>
      <c r="K19" s="25"/>
    </row>
    <row r="20" ht="22.5" customHeight="1">
      <c r="A20" s="24">
        <v>20.0</v>
      </c>
      <c r="B20" s="24">
        <f t="shared" si="1"/>
        <v>5</v>
      </c>
      <c r="C20" s="27">
        <v>5.0</v>
      </c>
      <c r="D20" s="25"/>
      <c r="E20" s="25"/>
      <c r="F20" s="25"/>
      <c r="G20" s="25"/>
      <c r="H20" s="25"/>
      <c r="I20" s="25"/>
      <c r="J20" s="25"/>
      <c r="K20" s="25"/>
    </row>
    <row r="21" ht="22.5" customHeight="1">
      <c r="A21" s="26">
        <v>21.0</v>
      </c>
      <c r="B21" s="26">
        <f t="shared" si="1"/>
        <v>8</v>
      </c>
      <c r="C21" s="27">
        <v>8.0</v>
      </c>
      <c r="D21" s="25"/>
      <c r="E21" s="25"/>
      <c r="F21" s="25"/>
      <c r="G21" s="25"/>
      <c r="H21" s="25"/>
      <c r="I21" s="25"/>
      <c r="J21" s="25"/>
      <c r="K21" s="25"/>
    </row>
    <row r="22" ht="22.5" customHeight="1">
      <c r="A22" s="26">
        <v>22.0</v>
      </c>
      <c r="B22" s="26">
        <f t="shared" si="1"/>
        <v>13</v>
      </c>
      <c r="C22" s="27">
        <v>13.0</v>
      </c>
      <c r="D22" s="25"/>
      <c r="E22" s="25"/>
      <c r="F22" s="25"/>
      <c r="G22" s="25"/>
      <c r="H22" s="25"/>
      <c r="I22" s="25"/>
      <c r="J22" s="25"/>
      <c r="K22" s="25"/>
    </row>
    <row r="23" ht="22.5" customHeight="1">
      <c r="A23" s="24">
        <v>23.0</v>
      </c>
      <c r="B23" s="24">
        <f t="shared" si="1"/>
        <v>9</v>
      </c>
      <c r="C23" s="27">
        <v>9.0</v>
      </c>
      <c r="D23" s="25"/>
      <c r="E23" s="25"/>
      <c r="F23" s="25"/>
      <c r="G23" s="25"/>
      <c r="H23" s="25"/>
      <c r="I23" s="25"/>
      <c r="J23" s="25"/>
      <c r="K23" s="25"/>
    </row>
    <row r="24" ht="22.5" customHeight="1">
      <c r="A24" s="26">
        <v>24.0</v>
      </c>
      <c r="B24" s="26">
        <f t="shared" si="1"/>
        <v>10</v>
      </c>
      <c r="C24" s="27">
        <v>10.0</v>
      </c>
      <c r="D24" s="25"/>
      <c r="E24" s="25"/>
      <c r="F24" s="25"/>
      <c r="G24" s="25"/>
      <c r="H24" s="25"/>
      <c r="I24" s="25"/>
      <c r="J24" s="25"/>
      <c r="K24" s="25"/>
    </row>
    <row r="25" ht="22.5" customHeight="1">
      <c r="A25" s="26">
        <v>25.0</v>
      </c>
      <c r="B25" s="26">
        <f t="shared" si="1"/>
        <v>12</v>
      </c>
      <c r="C25" s="27">
        <v>12.0</v>
      </c>
      <c r="D25" s="25"/>
      <c r="E25" s="25"/>
      <c r="F25" s="25"/>
      <c r="G25" s="25"/>
      <c r="H25" s="25"/>
      <c r="I25" s="25"/>
      <c r="J25" s="25"/>
      <c r="K25" s="25"/>
    </row>
    <row r="26" ht="22.5" customHeight="1">
      <c r="A26" s="24">
        <v>26.0</v>
      </c>
      <c r="B26" s="24">
        <f t="shared" si="1"/>
        <v>15</v>
      </c>
      <c r="C26" s="27">
        <v>15.0</v>
      </c>
      <c r="D26" s="25"/>
      <c r="E26" s="25"/>
      <c r="F26" s="25"/>
      <c r="G26" s="25"/>
      <c r="H26" s="25"/>
      <c r="I26" s="25"/>
      <c r="J26" s="25"/>
      <c r="K26" s="25"/>
    </row>
    <row r="27" ht="22.5" customHeight="1">
      <c r="A27" s="26">
        <v>27.0</v>
      </c>
      <c r="B27" s="26">
        <f t="shared" si="1"/>
        <v>15</v>
      </c>
      <c r="C27" s="27">
        <v>15.0</v>
      </c>
      <c r="D27" s="25"/>
      <c r="E27" s="25"/>
      <c r="F27" s="25"/>
      <c r="G27" s="25"/>
      <c r="H27" s="25"/>
      <c r="I27" s="25"/>
      <c r="J27" s="25"/>
      <c r="K27" s="25"/>
    </row>
    <row r="28" ht="22.5" customHeight="1">
      <c r="A28" s="26">
        <v>28.0</v>
      </c>
      <c r="B28" s="26">
        <f t="shared" si="1"/>
        <v>10</v>
      </c>
      <c r="C28" s="27">
        <v>10.0</v>
      </c>
      <c r="D28" s="25"/>
      <c r="E28" s="25"/>
      <c r="F28" s="25"/>
      <c r="G28" s="25"/>
      <c r="H28" s="25"/>
      <c r="I28" s="25"/>
      <c r="J28" s="25"/>
      <c r="K28" s="25"/>
    </row>
    <row r="29" ht="22.5" customHeight="1">
      <c r="A29" s="24">
        <v>29.0</v>
      </c>
      <c r="B29" s="24">
        <f t="shared" si="1"/>
        <v>10</v>
      </c>
      <c r="C29" s="27">
        <v>10.0</v>
      </c>
      <c r="D29" s="25"/>
      <c r="E29" s="25"/>
      <c r="F29" s="25"/>
      <c r="G29" s="25"/>
      <c r="H29" s="25"/>
      <c r="I29" s="25"/>
      <c r="J29" s="25"/>
      <c r="K29" s="25"/>
    </row>
    <row r="30" ht="22.5" customHeight="1">
      <c r="A30" s="26">
        <v>30.0</v>
      </c>
      <c r="B30" s="26">
        <f t="shared" si="1"/>
        <v>10</v>
      </c>
      <c r="C30" s="27">
        <v>10.0</v>
      </c>
      <c r="D30" s="25"/>
      <c r="E30" s="25"/>
      <c r="F30" s="25"/>
      <c r="G30" s="25"/>
      <c r="H30" s="25"/>
      <c r="I30" s="25"/>
      <c r="J30" s="25"/>
      <c r="K30" s="25"/>
    </row>
    <row r="31" ht="22.5" customHeight="1">
      <c r="A31" s="26">
        <v>31.0</v>
      </c>
      <c r="B31" s="26">
        <f t="shared" si="1"/>
        <v>20</v>
      </c>
      <c r="C31" s="27">
        <v>20.0</v>
      </c>
      <c r="D31" s="25"/>
      <c r="E31" s="25"/>
      <c r="F31" s="25"/>
      <c r="G31" s="25"/>
      <c r="H31" s="25"/>
      <c r="I31" s="25"/>
      <c r="J31" s="25"/>
      <c r="K31" s="25"/>
    </row>
    <row r="32" ht="22.5" customHeight="1">
      <c r="A32" s="24">
        <v>32.0</v>
      </c>
      <c r="B32" s="24">
        <f t="shared" si="1"/>
        <v>21</v>
      </c>
      <c r="C32" s="27">
        <v>21.0</v>
      </c>
      <c r="D32" s="25"/>
      <c r="E32" s="25"/>
      <c r="F32" s="25"/>
      <c r="G32" s="25"/>
      <c r="H32" s="25"/>
      <c r="I32" s="25"/>
      <c r="J32" s="25"/>
      <c r="K32" s="25"/>
    </row>
    <row r="33" ht="22.5" customHeight="1">
      <c r="A33" s="26">
        <v>33.0</v>
      </c>
      <c r="B33" s="26">
        <f t="shared" si="1"/>
        <v>25</v>
      </c>
      <c r="C33" s="27">
        <v>25.0</v>
      </c>
      <c r="D33" s="25"/>
      <c r="E33" s="25"/>
      <c r="F33" s="25"/>
      <c r="G33" s="25"/>
      <c r="H33" s="25"/>
      <c r="I33" s="25"/>
      <c r="J33" s="25"/>
      <c r="K33" s="25"/>
    </row>
    <row r="34" ht="22.5" customHeight="1">
      <c r="A34" s="26">
        <v>34.0</v>
      </c>
      <c r="B34" s="26">
        <f t="shared" si="1"/>
        <v>22</v>
      </c>
      <c r="C34" s="27">
        <v>22.0</v>
      </c>
      <c r="D34" s="25"/>
      <c r="E34" s="25"/>
      <c r="F34" s="25"/>
      <c r="G34" s="25"/>
      <c r="H34" s="25"/>
      <c r="I34" s="25"/>
      <c r="J34" s="25"/>
      <c r="K34" s="25"/>
    </row>
    <row r="35" ht="22.5" customHeight="1">
      <c r="A35" s="24">
        <v>35.0</v>
      </c>
      <c r="B35" s="24">
        <f t="shared" si="1"/>
        <v>10</v>
      </c>
      <c r="C35" s="27">
        <v>10.0</v>
      </c>
      <c r="D35" s="25"/>
      <c r="E35" s="25"/>
      <c r="F35" s="25"/>
      <c r="G35" s="25"/>
      <c r="H35" s="25"/>
      <c r="I35" s="25"/>
      <c r="J35" s="25"/>
      <c r="K35" s="25"/>
    </row>
    <row r="36" ht="22.5" customHeight="1">
      <c r="A36" s="26">
        <v>36.0</v>
      </c>
      <c r="B36" s="26">
        <f t="shared" si="1"/>
        <v>10</v>
      </c>
      <c r="C36" s="27">
        <v>10.0</v>
      </c>
      <c r="D36" s="25"/>
      <c r="E36" s="25"/>
      <c r="F36" s="25"/>
      <c r="G36" s="25"/>
      <c r="H36" s="25"/>
      <c r="I36" s="25"/>
      <c r="J36" s="25"/>
      <c r="K36" s="25"/>
    </row>
    <row r="37" ht="22.5" customHeight="1">
      <c r="A37" s="26">
        <v>37.0</v>
      </c>
      <c r="B37" s="26">
        <f t="shared" si="1"/>
        <v>9</v>
      </c>
      <c r="C37" s="27">
        <v>9.0</v>
      </c>
      <c r="D37" s="25"/>
      <c r="E37" s="25"/>
      <c r="F37" s="25"/>
      <c r="G37" s="25"/>
      <c r="H37" s="25"/>
      <c r="I37" s="25"/>
      <c r="J37" s="25"/>
      <c r="K37" s="25"/>
    </row>
    <row r="38" ht="22.5" customHeight="1">
      <c r="A38" s="24">
        <v>38.0</v>
      </c>
      <c r="B38" s="24">
        <f t="shared" si="1"/>
        <v>16</v>
      </c>
      <c r="C38" s="27">
        <v>16.0</v>
      </c>
      <c r="D38" s="25"/>
      <c r="E38" s="25"/>
      <c r="F38" s="25"/>
      <c r="G38" s="25"/>
      <c r="H38" s="25"/>
      <c r="I38" s="25"/>
      <c r="J38" s="25"/>
      <c r="K38" s="25"/>
    </row>
    <row r="39" ht="22.5" customHeight="1">
      <c r="A39" s="26">
        <v>39.0</v>
      </c>
      <c r="B39" s="26">
        <f t="shared" si="1"/>
        <v>13</v>
      </c>
      <c r="C39" s="27">
        <v>13.0</v>
      </c>
      <c r="D39" s="25"/>
      <c r="E39" s="25"/>
      <c r="F39" s="25"/>
      <c r="G39" s="25"/>
      <c r="H39" s="25"/>
      <c r="I39" s="25"/>
      <c r="J39" s="25"/>
      <c r="K39" s="25"/>
    </row>
    <row r="40" ht="22.5" customHeight="1">
      <c r="A40" s="26">
        <v>40.0</v>
      </c>
      <c r="B40" s="26">
        <f t="shared" si="1"/>
        <v>3</v>
      </c>
      <c r="C40" s="27">
        <v>3.0</v>
      </c>
      <c r="D40" s="25"/>
      <c r="E40" s="25"/>
      <c r="F40" s="25"/>
      <c r="G40" s="25"/>
      <c r="H40" s="25"/>
      <c r="I40" s="25"/>
      <c r="J40" s="25"/>
      <c r="K40" s="25"/>
    </row>
    <row r="41" ht="22.5" customHeight="1">
      <c r="A41" s="24">
        <v>41.0</v>
      </c>
      <c r="B41" s="24">
        <f t="shared" si="1"/>
        <v>12</v>
      </c>
      <c r="C41" s="27">
        <v>12.0</v>
      </c>
      <c r="D41" s="25"/>
      <c r="E41" s="25"/>
      <c r="F41" s="25"/>
      <c r="G41" s="25"/>
      <c r="H41" s="25"/>
      <c r="I41" s="25"/>
      <c r="J41" s="25"/>
      <c r="K41" s="25"/>
    </row>
    <row r="42" ht="22.5" customHeight="1">
      <c r="A42" s="26">
        <v>42.0</v>
      </c>
      <c r="B42" s="26">
        <f t="shared" si="1"/>
        <v>11</v>
      </c>
      <c r="C42" s="27">
        <v>11.0</v>
      </c>
      <c r="D42" s="25"/>
      <c r="E42" s="25"/>
      <c r="F42" s="25"/>
      <c r="G42" s="25"/>
      <c r="H42" s="25"/>
      <c r="I42" s="25"/>
      <c r="J42" s="25"/>
      <c r="K42" s="25"/>
    </row>
    <row r="43" ht="22.5" customHeight="1">
      <c r="A43" s="26">
        <v>43.0</v>
      </c>
      <c r="B43" s="26">
        <f t="shared" si="1"/>
        <v>11</v>
      </c>
      <c r="C43" s="27">
        <v>11.0</v>
      </c>
      <c r="D43" s="25"/>
      <c r="E43" s="25"/>
      <c r="F43" s="25"/>
      <c r="G43" s="25"/>
      <c r="H43" s="25"/>
      <c r="I43" s="25"/>
      <c r="J43" s="25"/>
      <c r="K43" s="25"/>
    </row>
    <row r="44" ht="22.5" customHeight="1">
      <c r="A44" s="24">
        <v>44.0</v>
      </c>
      <c r="B44" s="24">
        <f t="shared" si="1"/>
        <v>50</v>
      </c>
      <c r="C44" s="27">
        <v>50.0</v>
      </c>
      <c r="D44" s="25"/>
      <c r="E44" s="25"/>
      <c r="F44" s="25"/>
      <c r="G44" s="25"/>
      <c r="H44" s="25"/>
      <c r="I44" s="25"/>
      <c r="J44" s="25"/>
      <c r="K44" s="25"/>
    </row>
    <row r="45" ht="22.5" customHeight="1">
      <c r="A45" s="26">
        <v>45.0</v>
      </c>
      <c r="B45" s="26">
        <f t="shared" si="1"/>
        <v>5</v>
      </c>
      <c r="C45" s="27">
        <v>5.0</v>
      </c>
      <c r="D45" s="25"/>
      <c r="E45" s="25"/>
      <c r="F45" s="25"/>
      <c r="G45" s="25"/>
      <c r="H45" s="25"/>
      <c r="I45" s="25"/>
      <c r="J45" s="25"/>
      <c r="K45" s="25"/>
    </row>
    <row r="46" ht="22.5" customHeight="1">
      <c r="A46" s="26">
        <v>46.0</v>
      </c>
      <c r="B46" s="26">
        <f t="shared" si="1"/>
        <v>12</v>
      </c>
      <c r="C46" s="27">
        <v>12.0</v>
      </c>
      <c r="D46" s="25"/>
      <c r="E46" s="25"/>
      <c r="F46" s="25"/>
      <c r="G46" s="25"/>
      <c r="H46" s="25"/>
      <c r="I46" s="25"/>
      <c r="J46" s="25"/>
      <c r="K46" s="25"/>
    </row>
    <row r="47" ht="22.5" customHeight="1">
      <c r="A47" s="24">
        <v>47.0</v>
      </c>
      <c r="B47" s="24">
        <f t="shared" si="1"/>
        <v>25</v>
      </c>
      <c r="C47" s="27">
        <v>25.0</v>
      </c>
      <c r="D47" s="25"/>
      <c r="E47" s="25"/>
      <c r="F47" s="25"/>
      <c r="G47" s="25"/>
      <c r="H47" s="25"/>
      <c r="I47" s="25"/>
      <c r="J47" s="25"/>
      <c r="K47" s="25"/>
    </row>
    <row r="48" ht="22.5" customHeight="1">
      <c r="A48" s="26">
        <v>48.0</v>
      </c>
      <c r="B48" s="26">
        <f t="shared" si="1"/>
        <v>19</v>
      </c>
      <c r="C48" s="27">
        <v>19.0</v>
      </c>
      <c r="D48" s="25"/>
      <c r="E48" s="25"/>
      <c r="F48" s="25"/>
      <c r="G48" s="25"/>
      <c r="H48" s="25"/>
      <c r="I48" s="25"/>
      <c r="J48" s="25"/>
      <c r="K48" s="25"/>
    </row>
    <row r="49" ht="22.5" customHeight="1">
      <c r="A49" s="26">
        <v>49.0</v>
      </c>
      <c r="B49" s="26">
        <f t="shared" si="1"/>
        <v>20</v>
      </c>
      <c r="C49" s="27">
        <v>20.0</v>
      </c>
      <c r="D49" s="25"/>
      <c r="E49" s="25"/>
      <c r="F49" s="25"/>
      <c r="G49" s="25"/>
      <c r="H49" s="25"/>
      <c r="I49" s="25"/>
      <c r="J49" s="25"/>
      <c r="K49" s="25"/>
    </row>
    <row r="50" ht="22.5" customHeight="1">
      <c r="A50" s="24">
        <v>50.0</v>
      </c>
      <c r="B50" s="24">
        <f t="shared" si="1"/>
        <v>20</v>
      </c>
      <c r="C50" s="27">
        <v>20.0</v>
      </c>
      <c r="D50" s="25"/>
      <c r="E50" s="25"/>
      <c r="F50" s="25"/>
      <c r="G50" s="25"/>
      <c r="H50" s="25"/>
      <c r="I50" s="25"/>
      <c r="J50" s="25"/>
      <c r="K50" s="25"/>
    </row>
    <row r="51" ht="22.5" customHeight="1">
      <c r="A51" s="26">
        <v>51.0</v>
      </c>
      <c r="B51" s="26">
        <f t="shared" si="1"/>
        <v>17</v>
      </c>
      <c r="C51" s="27">
        <v>17.0</v>
      </c>
      <c r="D51" s="25"/>
      <c r="E51" s="25"/>
      <c r="F51" s="25"/>
      <c r="G51" s="25"/>
      <c r="H51" s="25"/>
      <c r="I51" s="25"/>
      <c r="J51" s="25"/>
      <c r="K51" s="25"/>
    </row>
    <row r="52" ht="22.5" customHeight="1">
      <c r="A52" s="26">
        <v>52.0</v>
      </c>
      <c r="B52" s="26">
        <f t="shared" si="1"/>
        <v>22</v>
      </c>
      <c r="C52" s="27">
        <v>22.0</v>
      </c>
      <c r="D52" s="25"/>
      <c r="E52" s="25"/>
      <c r="F52" s="25"/>
      <c r="G52" s="25"/>
      <c r="H52" s="25"/>
      <c r="I52" s="25"/>
      <c r="J52" s="25"/>
      <c r="K52" s="25"/>
    </row>
    <row r="53" ht="22.5" customHeight="1">
      <c r="A53" s="24">
        <v>53.0</v>
      </c>
      <c r="B53" s="24">
        <f t="shared" si="1"/>
        <v>5</v>
      </c>
      <c r="C53" s="27">
        <v>5.0</v>
      </c>
      <c r="D53" s="25"/>
      <c r="E53" s="25"/>
      <c r="F53" s="25"/>
      <c r="G53" s="25"/>
      <c r="H53" s="25"/>
      <c r="I53" s="25"/>
      <c r="J53" s="25"/>
      <c r="K53" s="25"/>
    </row>
    <row r="54" ht="22.5" customHeight="1">
      <c r="A54" s="26">
        <v>54.0</v>
      </c>
      <c r="B54" s="26">
        <f t="shared" si="1"/>
        <v>3</v>
      </c>
      <c r="C54" s="27">
        <v>3.0</v>
      </c>
      <c r="D54" s="25"/>
      <c r="E54" s="25"/>
      <c r="F54" s="25"/>
      <c r="G54" s="25"/>
      <c r="H54" s="25"/>
      <c r="I54" s="25"/>
      <c r="J54" s="25"/>
      <c r="K54" s="25"/>
    </row>
    <row r="55" ht="22.5" customHeight="1">
      <c r="A55" s="26">
        <v>55.0</v>
      </c>
      <c r="B55" s="26">
        <f t="shared" si="1"/>
        <v>10</v>
      </c>
      <c r="C55" s="27">
        <v>10.0</v>
      </c>
      <c r="D55" s="25"/>
      <c r="E55" s="25"/>
      <c r="F55" s="25"/>
      <c r="G55" s="25"/>
      <c r="H55" s="25"/>
      <c r="I55" s="25"/>
      <c r="J55" s="25"/>
      <c r="K55" s="25"/>
    </row>
    <row r="56" ht="22.5" customHeight="1">
      <c r="A56" s="24">
        <v>56.0</v>
      </c>
      <c r="B56" s="24">
        <f t="shared" si="1"/>
        <v>14</v>
      </c>
      <c r="C56" s="27">
        <v>14.0</v>
      </c>
      <c r="D56" s="25"/>
      <c r="E56" s="25"/>
      <c r="F56" s="25"/>
      <c r="G56" s="25"/>
      <c r="H56" s="25"/>
      <c r="I56" s="25"/>
      <c r="J56" s="25"/>
      <c r="K56" s="25"/>
    </row>
    <row r="57" ht="22.5" customHeight="1">
      <c r="A57" s="26">
        <v>57.0</v>
      </c>
      <c r="B57" s="26">
        <f t="shared" si="1"/>
        <v>6</v>
      </c>
      <c r="C57" s="27">
        <v>6.0</v>
      </c>
      <c r="D57" s="25"/>
      <c r="E57" s="25"/>
      <c r="F57" s="25"/>
      <c r="G57" s="25"/>
      <c r="H57" s="25"/>
      <c r="I57" s="25"/>
      <c r="J57" s="25"/>
      <c r="K57" s="25"/>
    </row>
    <row r="58" ht="22.5" customHeight="1">
      <c r="A58" s="26">
        <v>58.0</v>
      </c>
      <c r="B58" s="26">
        <f t="shared" si="1"/>
        <v>10</v>
      </c>
      <c r="C58" s="27">
        <v>10.0</v>
      </c>
      <c r="D58" s="25"/>
      <c r="E58" s="25"/>
      <c r="F58" s="25"/>
      <c r="G58" s="25"/>
      <c r="H58" s="25"/>
      <c r="I58" s="25"/>
      <c r="J58" s="25"/>
      <c r="K58" s="25"/>
    </row>
    <row r="59" ht="22.5" customHeight="1">
      <c r="A59" s="24">
        <v>59.0</v>
      </c>
      <c r="B59" s="24">
        <f t="shared" si="1"/>
        <v>9</v>
      </c>
      <c r="C59" s="27">
        <v>9.0</v>
      </c>
      <c r="D59" s="25"/>
      <c r="E59" s="25"/>
      <c r="F59" s="25"/>
      <c r="G59" s="25"/>
      <c r="H59" s="25"/>
      <c r="I59" s="25"/>
      <c r="J59" s="25"/>
      <c r="K59" s="25"/>
    </row>
    <row r="60" ht="22.5" customHeight="1">
      <c r="A60" s="26">
        <v>60.0</v>
      </c>
      <c r="B60" s="26">
        <f t="shared" si="1"/>
        <v>10</v>
      </c>
      <c r="C60" s="27">
        <v>10.0</v>
      </c>
      <c r="D60" s="25"/>
      <c r="E60" s="25"/>
      <c r="F60" s="25"/>
      <c r="G60" s="25"/>
      <c r="H60" s="25"/>
      <c r="I60" s="25"/>
      <c r="J60" s="25"/>
      <c r="K60" s="25"/>
    </row>
    <row r="61" ht="22.5" customHeight="1">
      <c r="A61" s="26">
        <v>61.0</v>
      </c>
      <c r="B61" s="26">
        <f t="shared" si="1"/>
        <v>21</v>
      </c>
      <c r="C61" s="27">
        <v>21.0</v>
      </c>
      <c r="D61" s="25"/>
      <c r="E61" s="25"/>
      <c r="F61" s="25"/>
      <c r="G61" s="25"/>
      <c r="H61" s="25"/>
      <c r="I61" s="25"/>
      <c r="J61" s="25"/>
      <c r="K61" s="25"/>
    </row>
    <row r="62" ht="22.5" customHeight="1">
      <c r="A62" s="24">
        <v>62.0</v>
      </c>
      <c r="B62" s="24">
        <f t="shared" si="1"/>
        <v>26</v>
      </c>
      <c r="C62" s="27">
        <v>26.0</v>
      </c>
      <c r="D62" s="25"/>
      <c r="E62" s="25"/>
      <c r="F62" s="25"/>
      <c r="G62" s="25"/>
      <c r="H62" s="25"/>
      <c r="I62" s="25"/>
      <c r="J62" s="25"/>
      <c r="K62" s="25"/>
    </row>
    <row r="63" ht="22.5" customHeight="1">
      <c r="A63" s="26">
        <v>63.0</v>
      </c>
      <c r="B63" s="26">
        <f t="shared" si="1"/>
        <v>15</v>
      </c>
      <c r="C63" s="27">
        <v>15.0</v>
      </c>
      <c r="D63" s="25"/>
      <c r="E63" s="25"/>
      <c r="F63" s="25"/>
      <c r="G63" s="25"/>
      <c r="H63" s="25"/>
      <c r="I63" s="25"/>
      <c r="J63" s="25"/>
      <c r="K63" s="25"/>
    </row>
    <row r="64" ht="22.5" customHeight="1">
      <c r="A64" s="26">
        <v>64.0</v>
      </c>
      <c r="B64" s="26">
        <f t="shared" si="1"/>
        <v>36</v>
      </c>
      <c r="C64" s="27">
        <v>36.0</v>
      </c>
      <c r="D64" s="25"/>
      <c r="E64" s="25"/>
      <c r="F64" s="25"/>
      <c r="G64" s="25"/>
      <c r="H64" s="25"/>
      <c r="I64" s="25"/>
      <c r="J64" s="25"/>
      <c r="K64" s="25"/>
    </row>
    <row r="65" ht="22.5" customHeight="1">
      <c r="A65" s="24">
        <v>65.0</v>
      </c>
      <c r="B65" s="24">
        <f t="shared" si="1"/>
        <v>8</v>
      </c>
      <c r="C65" s="27">
        <v>8.0</v>
      </c>
      <c r="D65" s="25"/>
      <c r="E65" s="25"/>
      <c r="F65" s="25"/>
      <c r="G65" s="25"/>
      <c r="H65" s="25"/>
      <c r="I65" s="25"/>
      <c r="J65" s="25"/>
      <c r="K65" s="25"/>
    </row>
    <row r="66" ht="22.5" customHeight="1">
      <c r="A66" s="26">
        <v>66.0</v>
      </c>
      <c r="B66" s="26">
        <f t="shared" si="1"/>
        <v>6</v>
      </c>
      <c r="C66" s="27">
        <v>6.0</v>
      </c>
      <c r="D66" s="25"/>
      <c r="E66" s="25"/>
      <c r="F66" s="25"/>
      <c r="G66" s="25"/>
      <c r="H66" s="25"/>
      <c r="I66" s="25"/>
      <c r="J66" s="25"/>
      <c r="K66" s="25"/>
    </row>
    <row r="67" ht="22.5" customHeight="1">
      <c r="A67" s="26">
        <v>67.0</v>
      </c>
      <c r="B67" s="26">
        <f t="shared" si="1"/>
        <v>12</v>
      </c>
      <c r="C67" s="27">
        <v>12.0</v>
      </c>
      <c r="D67" s="25"/>
      <c r="E67" s="25"/>
      <c r="F67" s="25"/>
      <c r="G67" s="25"/>
      <c r="H67" s="25"/>
      <c r="I67" s="25"/>
      <c r="J67" s="25"/>
      <c r="K67" s="25"/>
    </row>
    <row r="68" ht="22.5" customHeight="1">
      <c r="A68" s="24">
        <v>68.0</v>
      </c>
      <c r="B68" s="24">
        <f t="shared" si="1"/>
        <v>16</v>
      </c>
      <c r="C68" s="27">
        <v>16.0</v>
      </c>
      <c r="D68" s="25"/>
      <c r="E68" s="25"/>
      <c r="F68" s="25"/>
      <c r="G68" s="25"/>
      <c r="H68" s="25"/>
      <c r="I68" s="25"/>
      <c r="J68" s="25"/>
      <c r="K68" s="25"/>
    </row>
    <row r="69" ht="22.5" customHeight="1">
      <c r="A69" s="26">
        <v>69.0</v>
      </c>
      <c r="B69" s="26">
        <f t="shared" si="1"/>
        <v>15</v>
      </c>
      <c r="C69" s="27">
        <v>15.0</v>
      </c>
      <c r="D69" s="25"/>
      <c r="E69" s="25"/>
      <c r="F69" s="25"/>
      <c r="G69" s="25"/>
      <c r="H69" s="25"/>
      <c r="I69" s="25"/>
      <c r="J69" s="25"/>
      <c r="K69" s="25"/>
    </row>
    <row r="70" ht="22.5" customHeight="1">
      <c r="A70" s="26">
        <v>70.0</v>
      </c>
      <c r="B70" s="26">
        <f t="shared" si="1"/>
        <v>22</v>
      </c>
      <c r="C70" s="27">
        <v>22.0</v>
      </c>
      <c r="D70" s="25"/>
      <c r="E70" s="25"/>
      <c r="F70" s="25"/>
      <c r="G70" s="25"/>
      <c r="H70" s="25"/>
      <c r="I70" s="25"/>
      <c r="J70" s="25"/>
      <c r="K70" s="25"/>
    </row>
    <row r="71" ht="22.5" customHeight="1">
      <c r="A71" s="24">
        <v>71.0</v>
      </c>
      <c r="B71" s="24">
        <f t="shared" si="1"/>
        <v>12</v>
      </c>
      <c r="C71" s="27">
        <v>12.0</v>
      </c>
      <c r="D71" s="25"/>
      <c r="E71" s="25"/>
      <c r="F71" s="25"/>
      <c r="G71" s="25"/>
      <c r="H71" s="25"/>
      <c r="I71" s="25"/>
      <c r="J71" s="25"/>
      <c r="K71" s="25"/>
    </row>
    <row r="72" ht="22.5" customHeight="1">
      <c r="A72" s="26">
        <v>72.0</v>
      </c>
      <c r="B72" s="26">
        <f t="shared" si="1"/>
        <v>26</v>
      </c>
      <c r="C72" s="27">
        <v>26.0</v>
      </c>
      <c r="D72" s="25"/>
      <c r="E72" s="25"/>
      <c r="F72" s="25"/>
      <c r="G72" s="25"/>
      <c r="H72" s="25"/>
      <c r="I72" s="25"/>
      <c r="J72" s="25"/>
      <c r="K72" s="25"/>
    </row>
    <row r="73" ht="22.5" customHeight="1">
      <c r="A73" s="26">
        <v>73.0</v>
      </c>
      <c r="B73" s="26">
        <f t="shared" si="1"/>
        <v>25</v>
      </c>
      <c r="C73" s="27">
        <v>25.0</v>
      </c>
      <c r="D73" s="25"/>
      <c r="E73" s="25"/>
      <c r="F73" s="25"/>
      <c r="G73" s="25"/>
      <c r="H73" s="25"/>
      <c r="I73" s="25"/>
      <c r="J73" s="25"/>
      <c r="K73" s="25"/>
    </row>
    <row r="74" ht="22.5" customHeight="1">
      <c r="A74" s="24">
        <v>74.0</v>
      </c>
      <c r="B74" s="24">
        <f t="shared" si="1"/>
        <v>36</v>
      </c>
      <c r="C74" s="27">
        <v>16.0</v>
      </c>
      <c r="D74" s="25"/>
      <c r="E74" s="26"/>
      <c r="F74" s="26">
        <v>20.0</v>
      </c>
      <c r="G74" s="25"/>
      <c r="H74" s="25"/>
      <c r="I74" s="25"/>
      <c r="J74" s="25"/>
      <c r="K74" s="25"/>
    </row>
    <row r="75" ht="22.5" customHeight="1">
      <c r="A75" s="26">
        <v>75.0</v>
      </c>
      <c r="B75" s="26">
        <f t="shared" si="1"/>
        <v>30</v>
      </c>
      <c r="C75" s="25"/>
      <c r="D75" s="26">
        <v>10.0</v>
      </c>
      <c r="E75" s="26">
        <v>20.0</v>
      </c>
      <c r="F75" s="29"/>
      <c r="G75" s="29"/>
      <c r="H75" s="29"/>
      <c r="I75" s="29"/>
      <c r="J75" s="29"/>
      <c r="K75" s="29"/>
    </row>
    <row r="76" ht="22.5" customHeight="1">
      <c r="A76" s="26">
        <v>76.0</v>
      </c>
      <c r="B76" s="26">
        <f t="shared" si="1"/>
        <v>5</v>
      </c>
      <c r="C76" s="25"/>
      <c r="D76" s="26"/>
      <c r="E76" s="29"/>
      <c r="F76" s="29"/>
      <c r="G76" s="26">
        <v>5.0</v>
      </c>
      <c r="H76" s="29"/>
      <c r="I76" s="29"/>
      <c r="J76" s="29"/>
      <c r="K76" s="29"/>
    </row>
    <row r="77" ht="22.5" customHeight="1">
      <c r="A77" s="24">
        <v>77.0</v>
      </c>
      <c r="B77" s="26">
        <f t="shared" si="1"/>
        <v>15</v>
      </c>
      <c r="C77" s="25"/>
      <c r="D77" s="25"/>
      <c r="E77" s="25"/>
      <c r="F77" s="25"/>
      <c r="G77" s="26">
        <v>15.0</v>
      </c>
      <c r="H77" s="29"/>
      <c r="I77" s="29"/>
      <c r="J77" s="29"/>
      <c r="K77" s="29"/>
    </row>
    <row r="78" ht="22.5" customHeight="1">
      <c r="A78" s="26">
        <v>78.0</v>
      </c>
      <c r="B78" s="26">
        <f t="shared" si="1"/>
        <v>10</v>
      </c>
      <c r="C78" s="25"/>
      <c r="D78" s="25"/>
      <c r="E78" s="25"/>
      <c r="F78" s="25"/>
      <c r="G78" s="26">
        <v>10.0</v>
      </c>
      <c r="H78" s="29"/>
      <c r="I78" s="29"/>
      <c r="J78" s="29"/>
      <c r="K78" s="29"/>
    </row>
    <row r="79" ht="22.5" customHeight="1">
      <c r="A79" s="26">
        <v>79.0</v>
      </c>
      <c r="B79" s="26">
        <f t="shared" si="1"/>
        <v>10</v>
      </c>
      <c r="C79" s="25"/>
      <c r="D79" s="25"/>
      <c r="E79" s="25"/>
      <c r="F79" s="25"/>
      <c r="G79" s="26">
        <v>10.0</v>
      </c>
      <c r="H79" s="29"/>
      <c r="I79" s="29"/>
      <c r="J79" s="29"/>
      <c r="K79" s="29"/>
    </row>
    <row r="80" ht="22.5" customHeight="1">
      <c r="A80" s="24">
        <v>80.0</v>
      </c>
      <c r="B80" s="26">
        <f t="shared" si="1"/>
        <v>15</v>
      </c>
      <c r="C80" s="25"/>
      <c r="D80" s="25"/>
      <c r="E80" s="25"/>
      <c r="F80" s="25"/>
      <c r="G80" s="26">
        <v>15.0</v>
      </c>
      <c r="H80" s="29"/>
      <c r="I80" s="29"/>
      <c r="J80" s="29"/>
      <c r="K80" s="29"/>
    </row>
    <row r="81" ht="22.5" customHeight="1">
      <c r="A81" s="26">
        <v>81.0</v>
      </c>
      <c r="B81" s="26">
        <f t="shared" si="1"/>
        <v>10</v>
      </c>
      <c r="C81" s="25"/>
      <c r="D81" s="25"/>
      <c r="E81" s="25"/>
      <c r="F81" s="25"/>
      <c r="G81" s="26">
        <v>10.0</v>
      </c>
      <c r="H81" s="29"/>
      <c r="I81" s="29"/>
      <c r="J81" s="29"/>
      <c r="K81" s="29"/>
    </row>
    <row r="82" ht="22.5" customHeight="1">
      <c r="A82" s="26">
        <v>82.0</v>
      </c>
      <c r="B82" s="26">
        <f t="shared" si="1"/>
        <v>7</v>
      </c>
      <c r="C82" s="25"/>
      <c r="D82" s="25"/>
      <c r="E82" s="25"/>
      <c r="F82" s="25"/>
      <c r="G82" s="26">
        <v>7.0</v>
      </c>
      <c r="H82" s="29"/>
      <c r="I82" s="29"/>
      <c r="J82" s="29"/>
      <c r="K82" s="29"/>
    </row>
    <row r="83" ht="22.5" customHeight="1">
      <c r="A83" s="24">
        <v>83.0</v>
      </c>
      <c r="B83" s="26">
        <f t="shared" si="1"/>
        <v>8</v>
      </c>
      <c r="C83" s="25"/>
      <c r="D83" s="25"/>
      <c r="E83" s="25"/>
      <c r="F83" s="25"/>
      <c r="G83" s="26">
        <v>8.0</v>
      </c>
      <c r="H83" s="29"/>
      <c r="I83" s="29"/>
      <c r="J83" s="29"/>
      <c r="K83" s="29"/>
    </row>
    <row r="84" ht="22.5" customHeight="1">
      <c r="A84" s="26">
        <v>84.0</v>
      </c>
      <c r="B84" s="26">
        <f t="shared" si="1"/>
        <v>10</v>
      </c>
      <c r="C84" s="25"/>
      <c r="D84" s="25"/>
      <c r="E84" s="25"/>
      <c r="F84" s="25"/>
      <c r="G84" s="26">
        <v>10.0</v>
      </c>
      <c r="H84" s="29"/>
      <c r="I84" s="29"/>
      <c r="J84" s="29"/>
      <c r="K84" s="29"/>
    </row>
    <row r="85" ht="22.5" customHeight="1">
      <c r="A85" s="26">
        <v>85.0</v>
      </c>
      <c r="B85" s="26">
        <f t="shared" si="1"/>
        <v>15</v>
      </c>
      <c r="C85" s="25"/>
      <c r="D85" s="25"/>
      <c r="E85" s="25"/>
      <c r="F85" s="25"/>
      <c r="G85" s="26">
        <v>15.0</v>
      </c>
      <c r="H85" s="29"/>
      <c r="I85" s="29"/>
      <c r="J85" s="29"/>
      <c r="K85" s="29"/>
    </row>
    <row r="86" ht="22.5" customHeight="1">
      <c r="A86" s="24">
        <v>86.0</v>
      </c>
      <c r="B86" s="26">
        <f t="shared" si="1"/>
        <v>5</v>
      </c>
      <c r="C86" s="25"/>
      <c r="D86" s="25"/>
      <c r="E86" s="25"/>
      <c r="F86" s="25"/>
      <c r="G86" s="26">
        <v>5.0</v>
      </c>
      <c r="H86" s="29"/>
      <c r="I86" s="29"/>
      <c r="J86" s="29"/>
      <c r="K86" s="29"/>
    </row>
    <row r="87" ht="22.5" customHeight="1">
      <c r="A87" s="26">
        <v>87.0</v>
      </c>
      <c r="B87" s="26">
        <f t="shared" si="1"/>
        <v>15</v>
      </c>
      <c r="C87" s="25"/>
      <c r="D87" s="25"/>
      <c r="E87" s="25"/>
      <c r="F87" s="25"/>
      <c r="G87" s="26">
        <v>15.0</v>
      </c>
      <c r="H87" s="29"/>
      <c r="I87" s="29"/>
      <c r="J87" s="29"/>
      <c r="K87" s="29"/>
    </row>
    <row r="88" ht="22.5" customHeight="1">
      <c r="A88" s="26">
        <v>88.0</v>
      </c>
      <c r="B88" s="26">
        <f t="shared" si="1"/>
        <v>5</v>
      </c>
      <c r="C88" s="25"/>
      <c r="D88" s="25"/>
      <c r="E88" s="25"/>
      <c r="F88" s="25"/>
      <c r="G88" s="26">
        <v>5.0</v>
      </c>
      <c r="H88" s="29"/>
      <c r="I88" s="29"/>
      <c r="J88" s="29"/>
      <c r="K88" s="29"/>
    </row>
    <row r="89" ht="22.5" customHeight="1">
      <c r="A89" s="24">
        <v>89.0</v>
      </c>
      <c r="B89" s="26">
        <f t="shared" si="1"/>
        <v>15</v>
      </c>
      <c r="C89" s="25"/>
      <c r="D89" s="25"/>
      <c r="E89" s="25"/>
      <c r="F89" s="25"/>
      <c r="G89" s="26">
        <v>15.0</v>
      </c>
      <c r="H89" s="29"/>
      <c r="I89" s="29"/>
      <c r="J89" s="29"/>
      <c r="K89" s="29"/>
    </row>
    <row r="90" ht="22.5" customHeight="1">
      <c r="A90" s="26">
        <v>90.0</v>
      </c>
      <c r="B90" s="26">
        <f t="shared" si="1"/>
        <v>10</v>
      </c>
      <c r="C90" s="25"/>
      <c r="D90" s="25"/>
      <c r="E90" s="25"/>
      <c r="F90" s="25"/>
      <c r="G90" s="26">
        <v>10.0</v>
      </c>
      <c r="H90" s="29"/>
      <c r="I90" s="29"/>
      <c r="J90" s="29"/>
      <c r="K90" s="29"/>
    </row>
    <row r="91" ht="22.5" customHeight="1">
      <c r="A91" s="26">
        <v>91.0</v>
      </c>
      <c r="B91" s="26">
        <f t="shared" si="1"/>
        <v>7</v>
      </c>
      <c r="C91" s="25"/>
      <c r="D91" s="25"/>
      <c r="E91" s="25"/>
      <c r="F91" s="25"/>
      <c r="G91" s="26">
        <v>7.0</v>
      </c>
      <c r="H91" s="29"/>
      <c r="I91" s="29"/>
      <c r="J91" s="29"/>
      <c r="K91" s="29"/>
    </row>
    <row r="92" ht="22.5" customHeight="1">
      <c r="A92" s="24">
        <v>92.0</v>
      </c>
      <c r="B92" s="26">
        <f t="shared" si="1"/>
        <v>30</v>
      </c>
      <c r="C92" s="25"/>
      <c r="D92" s="25"/>
      <c r="E92" s="25"/>
      <c r="F92" s="26"/>
      <c r="G92" s="26">
        <v>5.0</v>
      </c>
      <c r="H92" s="29"/>
      <c r="I92" s="26">
        <v>25.0</v>
      </c>
      <c r="J92" s="29"/>
      <c r="K92" s="29"/>
    </row>
    <row r="93" ht="22.5" customHeight="1">
      <c r="A93" s="26">
        <v>93.0</v>
      </c>
      <c r="B93" s="26">
        <f t="shared" si="1"/>
        <v>15</v>
      </c>
      <c r="C93" s="25"/>
      <c r="D93" s="25"/>
      <c r="E93" s="25"/>
      <c r="F93" s="25"/>
      <c r="G93" s="26">
        <v>15.0</v>
      </c>
      <c r="H93" s="29"/>
      <c r="I93" s="29"/>
      <c r="J93" s="29"/>
      <c r="K93" s="29"/>
    </row>
    <row r="94" ht="22.5" customHeight="1">
      <c r="A94" s="26">
        <v>94.0</v>
      </c>
      <c r="B94" s="26">
        <f t="shared" si="1"/>
        <v>8</v>
      </c>
      <c r="C94" s="25"/>
      <c r="D94" s="25"/>
      <c r="E94" s="25"/>
      <c r="F94" s="25"/>
      <c r="G94" s="26">
        <v>8.0</v>
      </c>
      <c r="H94" s="29"/>
      <c r="I94" s="29"/>
      <c r="J94" s="29"/>
      <c r="K94" s="29"/>
    </row>
    <row r="95" ht="22.5" customHeight="1">
      <c r="A95" s="24">
        <v>95.0</v>
      </c>
      <c r="B95" s="26">
        <f t="shared" si="1"/>
        <v>8</v>
      </c>
      <c r="C95" s="25"/>
      <c r="D95" s="25"/>
      <c r="E95" s="25"/>
      <c r="F95" s="25"/>
      <c r="G95" s="26">
        <v>8.0</v>
      </c>
      <c r="H95" s="29"/>
      <c r="I95" s="29"/>
      <c r="J95" s="29"/>
      <c r="K95" s="29"/>
    </row>
    <row r="96" ht="22.5" customHeight="1">
      <c r="A96" s="26">
        <v>96.0</v>
      </c>
      <c r="B96" s="26">
        <f t="shared" si="1"/>
        <v>5</v>
      </c>
      <c r="C96" s="25"/>
      <c r="D96" s="25"/>
      <c r="E96" s="25"/>
      <c r="F96" s="25"/>
      <c r="G96" s="26">
        <v>5.0</v>
      </c>
      <c r="H96" s="29"/>
      <c r="I96" s="29"/>
      <c r="J96" s="29"/>
      <c r="K96" s="29"/>
    </row>
    <row r="97" ht="22.5" customHeight="1">
      <c r="A97" s="26">
        <v>97.0</v>
      </c>
      <c r="B97" s="26">
        <f t="shared" si="1"/>
        <v>17</v>
      </c>
      <c r="C97" s="25"/>
      <c r="D97" s="25"/>
      <c r="E97" s="25"/>
      <c r="F97" s="25"/>
      <c r="G97" s="26">
        <v>10.0</v>
      </c>
      <c r="H97" s="29"/>
      <c r="I97" s="26">
        <v>7.0</v>
      </c>
      <c r="J97" s="26"/>
      <c r="K97" s="29"/>
    </row>
    <row r="98" ht="22.5" customHeight="1">
      <c r="A98" s="24">
        <v>98.0</v>
      </c>
      <c r="B98" s="26">
        <f t="shared" si="1"/>
        <v>15</v>
      </c>
      <c r="C98" s="25"/>
      <c r="D98" s="25"/>
      <c r="E98" s="25"/>
      <c r="F98" s="25"/>
      <c r="G98" s="26">
        <v>10.0</v>
      </c>
      <c r="H98" s="29"/>
      <c r="I98" s="26">
        <v>5.0</v>
      </c>
      <c r="J98" s="29"/>
      <c r="K98" s="29"/>
    </row>
    <row r="99" ht="22.5" customHeight="1">
      <c r="A99" s="26">
        <v>99.0</v>
      </c>
      <c r="B99" s="26">
        <f t="shared" si="1"/>
        <v>15</v>
      </c>
      <c r="C99" s="25"/>
      <c r="D99" s="25"/>
      <c r="E99" s="25"/>
      <c r="F99" s="25"/>
      <c r="G99" s="26">
        <v>15.0</v>
      </c>
      <c r="H99" s="29"/>
      <c r="I99" s="29"/>
      <c r="J99" s="29"/>
      <c r="K99" s="29"/>
    </row>
    <row r="100" ht="22.5" customHeight="1">
      <c r="A100" s="26">
        <v>100.0</v>
      </c>
      <c r="B100" s="26">
        <f t="shared" si="1"/>
        <v>12</v>
      </c>
      <c r="C100" s="25"/>
      <c r="D100" s="25"/>
      <c r="E100" s="25"/>
      <c r="F100" s="25"/>
      <c r="G100" s="26">
        <v>12.0</v>
      </c>
      <c r="H100" s="29"/>
      <c r="I100" s="29"/>
      <c r="J100" s="29"/>
      <c r="K100" s="29"/>
    </row>
    <row r="101" ht="22.5" customHeight="1">
      <c r="A101" s="24">
        <v>101.0</v>
      </c>
      <c r="B101" s="26">
        <f t="shared" si="1"/>
        <v>20</v>
      </c>
      <c r="C101" s="25"/>
      <c r="D101" s="25"/>
      <c r="E101" s="25"/>
      <c r="F101" s="25"/>
      <c r="G101" s="26">
        <v>15.0</v>
      </c>
      <c r="H101" s="29"/>
      <c r="I101" s="29"/>
      <c r="J101" s="26">
        <v>5.0</v>
      </c>
      <c r="K101" s="29"/>
    </row>
    <row r="102" ht="22.5" customHeight="1">
      <c r="A102" s="26">
        <v>102.0</v>
      </c>
      <c r="B102" s="26">
        <f t="shared" si="1"/>
        <v>5</v>
      </c>
      <c r="C102" s="25"/>
      <c r="D102" s="25"/>
      <c r="E102" s="25"/>
      <c r="F102" s="25"/>
      <c r="G102" s="26">
        <v>5.0</v>
      </c>
      <c r="H102" s="29"/>
      <c r="I102" s="29"/>
      <c r="J102" s="29"/>
      <c r="K102" s="29"/>
    </row>
    <row r="103" ht="22.5" customHeight="1">
      <c r="A103" s="26">
        <v>103.0</v>
      </c>
      <c r="B103" s="26">
        <f t="shared" si="1"/>
        <v>5</v>
      </c>
      <c r="C103" s="25"/>
      <c r="D103" s="25"/>
      <c r="E103" s="25"/>
      <c r="F103" s="25"/>
      <c r="G103" s="26">
        <v>5.0</v>
      </c>
      <c r="H103" s="29"/>
      <c r="I103" s="29"/>
      <c r="J103" s="29"/>
      <c r="K103" s="29"/>
    </row>
    <row r="104" ht="22.5" customHeight="1">
      <c r="A104" s="24">
        <v>104.0</v>
      </c>
      <c r="B104" s="26">
        <f t="shared" si="1"/>
        <v>35</v>
      </c>
      <c r="C104" s="25"/>
      <c r="D104" s="25"/>
      <c r="E104" s="25"/>
      <c r="F104" s="25"/>
      <c r="G104" s="26">
        <v>5.0</v>
      </c>
      <c r="I104" s="29"/>
      <c r="J104" s="26"/>
      <c r="K104" s="26">
        <v>30.0</v>
      </c>
    </row>
    <row r="105" ht="22.5" customHeight="1">
      <c r="A105" s="26">
        <v>105.0</v>
      </c>
      <c r="B105" s="26">
        <f t="shared" si="1"/>
        <v>25</v>
      </c>
      <c r="C105" s="25"/>
      <c r="D105" s="25"/>
      <c r="E105" s="25"/>
      <c r="F105" s="25"/>
      <c r="G105" s="25"/>
      <c r="H105" s="25"/>
      <c r="I105" s="25"/>
      <c r="J105" s="26">
        <v>25.0</v>
      </c>
      <c r="K105" s="29"/>
    </row>
    <row r="106" ht="22.5" customHeight="1">
      <c r="A106" s="26">
        <v>106.0</v>
      </c>
      <c r="B106" s="26">
        <f t="shared" si="1"/>
        <v>15</v>
      </c>
      <c r="C106" s="25"/>
      <c r="D106" s="25"/>
      <c r="E106" s="25"/>
      <c r="F106" s="25"/>
      <c r="G106" s="25"/>
      <c r="H106" s="25"/>
      <c r="I106" s="25"/>
      <c r="J106" s="25"/>
      <c r="K106" s="26">
        <v>15.0</v>
      </c>
    </row>
    <row r="107" ht="22.5" customHeight="1">
      <c r="A107" s="26">
        <v>107.0</v>
      </c>
      <c r="B107" s="26">
        <f t="shared" si="1"/>
        <v>10</v>
      </c>
      <c r="C107" s="25"/>
      <c r="D107" s="25"/>
      <c r="E107" s="25"/>
      <c r="F107" s="25"/>
      <c r="G107" s="25"/>
      <c r="H107" s="25"/>
      <c r="I107" s="25"/>
      <c r="J107" s="25"/>
      <c r="K107" s="26">
        <v>10.0</v>
      </c>
    </row>
    <row r="108" ht="22.5" customHeight="1">
      <c r="A108" s="26">
        <v>108.0</v>
      </c>
      <c r="B108" s="26">
        <f t="shared" si="1"/>
        <v>5</v>
      </c>
      <c r="C108" s="25"/>
      <c r="D108" s="25"/>
      <c r="E108" s="25"/>
      <c r="F108" s="25"/>
      <c r="G108" s="25"/>
      <c r="H108" s="25"/>
      <c r="I108" s="25"/>
      <c r="J108" s="25"/>
      <c r="K108" s="26">
        <v>5.0</v>
      </c>
    </row>
    <row r="109" ht="22.5" customHeight="1">
      <c r="A109" s="26">
        <v>109.0</v>
      </c>
      <c r="B109" s="26">
        <f t="shared" si="1"/>
        <v>20</v>
      </c>
      <c r="C109" s="25"/>
      <c r="D109" s="25"/>
      <c r="E109" s="25"/>
      <c r="F109" s="25"/>
      <c r="G109" s="25"/>
      <c r="H109" s="25"/>
      <c r="I109" s="25"/>
      <c r="J109" s="25"/>
      <c r="K109" s="26">
        <v>20.0</v>
      </c>
    </row>
    <row r="110" ht="22.5" customHeight="1">
      <c r="A110" s="26">
        <v>110.0</v>
      </c>
      <c r="B110" s="26">
        <f t="shared" si="1"/>
        <v>15</v>
      </c>
      <c r="C110" s="25"/>
      <c r="D110" s="25"/>
      <c r="E110" s="25"/>
      <c r="F110" s="25"/>
      <c r="G110" s="25"/>
      <c r="H110" s="25"/>
      <c r="I110" s="25"/>
      <c r="J110" s="25"/>
      <c r="K110" s="30">
        <v>15.0</v>
      </c>
    </row>
    <row r="111" ht="22.5" customHeight="1">
      <c r="A111" s="26">
        <v>111.0</v>
      </c>
      <c r="B111" s="26">
        <f t="shared" si="1"/>
        <v>20</v>
      </c>
      <c r="C111" s="25"/>
      <c r="D111" s="25"/>
      <c r="E111" s="25"/>
      <c r="F111" s="25"/>
      <c r="G111" s="25"/>
      <c r="H111" s="25"/>
      <c r="I111" s="25"/>
      <c r="J111" s="25"/>
      <c r="K111" s="30">
        <v>20.0</v>
      </c>
    </row>
    <row r="112" ht="22.5" customHeight="1">
      <c r="A112" s="26">
        <v>112.0</v>
      </c>
      <c r="B112" s="26">
        <f t="shared" si="1"/>
        <v>20</v>
      </c>
      <c r="C112" s="25"/>
      <c r="D112" s="25"/>
      <c r="E112" s="25"/>
      <c r="F112" s="25"/>
      <c r="G112" s="25"/>
      <c r="H112" s="25"/>
      <c r="I112" s="25"/>
      <c r="J112" s="25"/>
      <c r="K112" s="30">
        <v>20.0</v>
      </c>
    </row>
    <row r="113" ht="22.5" customHeight="1">
      <c r="A113" s="26">
        <v>113.0</v>
      </c>
      <c r="B113" s="26">
        <f t="shared" si="1"/>
        <v>5</v>
      </c>
      <c r="C113" s="25"/>
      <c r="D113" s="25"/>
      <c r="E113" s="25"/>
      <c r="F113" s="25"/>
      <c r="G113" s="25"/>
      <c r="H113" s="25"/>
      <c r="I113" s="25"/>
      <c r="J113" s="25"/>
      <c r="K113" s="30">
        <v>5.0</v>
      </c>
    </row>
    <row r="114" ht="22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</row>
    <row r="115" ht="22.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</row>
    <row r="116" ht="22.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</row>
    <row r="117" ht="22.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</row>
    <row r="118" ht="22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</row>
    <row r="119" ht="22.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</row>
    <row r="120" ht="22.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ht="22.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</row>
    <row r="122" ht="22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</row>
    <row r="123" ht="22.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ht="22.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</row>
    <row r="125" ht="22.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</row>
    <row r="126" ht="22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</row>
    <row r="127" ht="22.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</row>
    <row r="128" ht="22.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</row>
    <row r="129" ht="22.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ht="22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</row>
    <row r="131" ht="22.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</row>
    <row r="132" ht="22.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</row>
    <row r="133" ht="22.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 ht="22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</row>
    <row r="135" ht="22.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</row>
    <row r="136" ht="22.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</row>
    <row r="137" ht="22.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 ht="22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</row>
    <row r="139" ht="22.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 ht="22.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 ht="22.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</row>
    <row r="142" ht="22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</row>
    <row r="143" ht="22.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</row>
    <row r="144" ht="22.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ht="22.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 ht="22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ht="22.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</row>
    <row r="148" ht="22.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 ht="22.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 ht="22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 ht="22.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 ht="22.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 ht="22.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</row>
    <row r="154" ht="22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ht="22.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ht="22.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ht="22.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 ht="22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 ht="22.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 ht="22.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</row>
    <row r="161" ht="22.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 ht="22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ht="22.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</row>
    <row r="164" ht="22.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</row>
    <row r="165" ht="22.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ht="22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 ht="22.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 ht="22.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 ht="22.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</row>
    <row r="170" ht="22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</row>
    <row r="171" ht="22.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 ht="22.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</row>
    <row r="173" ht="22.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</row>
    <row r="174" ht="22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</row>
    <row r="175" ht="22.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</row>
    <row r="176" ht="22.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</row>
    <row r="177" ht="22.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</row>
    <row r="178" ht="22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</row>
    <row r="179" ht="22.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</row>
    <row r="180" ht="22.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</row>
    <row r="181" ht="22.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</row>
    <row r="182" ht="22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</row>
    <row r="183" ht="22.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</row>
    <row r="184" ht="22.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</row>
    <row r="185" ht="22.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</row>
    <row r="186" ht="22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</row>
    <row r="187" ht="22.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</row>
    <row r="188" ht="22.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</row>
    <row r="189" ht="22.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</row>
    <row r="190" ht="22.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</row>
    <row r="191" ht="22.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</row>
    <row r="192" ht="22.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</row>
    <row r="193" ht="22.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</row>
    <row r="194" ht="22.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</row>
    <row r="195" ht="22.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</row>
    <row r="196" ht="22.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</row>
    <row r="197" ht="22.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</row>
    <row r="198" ht="22.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</row>
    <row r="199" ht="22.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</row>
    <row r="200" ht="22.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</row>
    <row r="201" ht="22.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</row>
    <row r="202" ht="22.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</row>
    <row r="203" ht="22.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</row>
    <row r="204" ht="22.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</row>
    <row r="205" ht="22.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</row>
    <row r="206" ht="22.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</row>
    <row r="207" ht="22.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</row>
    <row r="208" ht="22.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</row>
    <row r="209" ht="22.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</row>
    <row r="210" ht="22.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</row>
    <row r="211" ht="22.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</row>
    <row r="212" ht="22.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</row>
    <row r="213" ht="22.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</row>
    <row r="214" ht="22.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</row>
    <row r="215" ht="22.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</row>
    <row r="216" ht="22.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</row>
    <row r="217" ht="22.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</row>
    <row r="218" ht="22.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</row>
    <row r="219" ht="22.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</row>
    <row r="220" ht="22.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</row>
    <row r="221" ht="22.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</row>
    <row r="222" ht="22.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</row>
    <row r="223" ht="22.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</row>
    <row r="224" ht="22.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</row>
    <row r="225" ht="22.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</row>
    <row r="226" ht="22.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</row>
    <row r="227" ht="22.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</row>
    <row r="228" ht="22.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</row>
    <row r="229" ht="22.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</row>
    <row r="230" ht="22.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</row>
    <row r="231" ht="22.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</row>
    <row r="232" ht="22.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</row>
    <row r="233" ht="22.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</row>
    <row r="234" ht="22.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</row>
    <row r="235" ht="22.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</row>
    <row r="236" ht="22.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</row>
    <row r="237" ht="22.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</row>
    <row r="238" ht="22.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</row>
    <row r="239" ht="22.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</row>
    <row r="240" ht="22.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</row>
    <row r="241" ht="22.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</row>
    <row r="242" ht="22.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</row>
    <row r="243" ht="22.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</row>
    <row r="244" ht="22.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</row>
    <row r="245" ht="22.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</row>
    <row r="246" ht="22.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</row>
    <row r="247" ht="22.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</row>
    <row r="248" ht="22.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</row>
    <row r="249" ht="22.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</row>
    <row r="250" ht="22.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</row>
    <row r="251" ht="22.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</row>
    <row r="252" ht="22.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</row>
    <row r="253" ht="22.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</row>
    <row r="254" ht="22.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</row>
    <row r="255" ht="22.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</row>
    <row r="256" ht="22.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</row>
    <row r="257" ht="22.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</row>
    <row r="258" ht="22.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</row>
    <row r="259" ht="22.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</row>
    <row r="260" ht="22.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</row>
    <row r="261" ht="22.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</row>
    <row r="262" ht="22.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</row>
    <row r="263" ht="22.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</row>
    <row r="264" ht="22.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</row>
    <row r="265" ht="22.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</row>
    <row r="266" ht="22.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</row>
    <row r="267" ht="22.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</row>
    <row r="268" ht="22.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</row>
    <row r="269" ht="22.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</row>
    <row r="270" ht="22.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</row>
    <row r="271" ht="22.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</row>
    <row r="272" ht="22.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</row>
    <row r="273" ht="22.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</row>
    <row r="274" ht="22.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</row>
    <row r="275" ht="22.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</row>
    <row r="276" ht="22.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</row>
    <row r="277" ht="22.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</row>
    <row r="278" ht="22.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</row>
    <row r="279" ht="22.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</row>
    <row r="280" ht="22.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</row>
    <row r="281" ht="22.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</row>
    <row r="282" ht="22.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</row>
    <row r="283" ht="22.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</row>
    <row r="284" ht="22.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</row>
    <row r="285" ht="22.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</row>
    <row r="286" ht="22.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</row>
    <row r="287" ht="22.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</row>
    <row r="288" ht="22.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</row>
    <row r="289" ht="22.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</row>
    <row r="290" ht="22.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</row>
    <row r="291" ht="22.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</row>
    <row r="292" ht="22.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</row>
    <row r="293" ht="22.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</row>
    <row r="294" ht="22.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</row>
    <row r="295" ht="22.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</row>
    <row r="296" ht="22.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</row>
    <row r="297" ht="22.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</row>
    <row r="298" ht="22.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</row>
    <row r="299" ht="22.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</row>
    <row r="300" ht="22.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</row>
    <row r="301" ht="22.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</row>
    <row r="302" ht="22.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</row>
    <row r="303" ht="22.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</row>
    <row r="304" ht="22.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</row>
    <row r="305" ht="22.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</row>
    <row r="306" ht="22.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</row>
    <row r="307" ht="22.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</row>
    <row r="308" ht="22.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</row>
    <row r="309" ht="22.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</row>
    <row r="310" ht="22.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</row>
    <row r="311" ht="22.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</row>
    <row r="312" ht="22.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</row>
    <row r="313" ht="22.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</row>
    <row r="314" ht="22.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</row>
    <row r="315" ht="22.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</row>
    <row r="316" ht="22.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</row>
    <row r="317" ht="22.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</row>
    <row r="318" ht="22.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</row>
    <row r="319" ht="22.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</row>
    <row r="320" ht="22.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</row>
    <row r="321" ht="22.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</row>
    <row r="322" ht="22.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</row>
    <row r="323" ht="22.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</row>
    <row r="324" ht="22.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</row>
    <row r="325" ht="22.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</row>
    <row r="326" ht="22.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</row>
    <row r="327" ht="22.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</row>
    <row r="328" ht="22.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</row>
    <row r="329" ht="22.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</row>
    <row r="330" ht="22.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</row>
    <row r="331" ht="22.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</row>
    <row r="332" ht="22.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</row>
    <row r="333" ht="22.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</row>
    <row r="334" ht="22.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</row>
    <row r="335" ht="22.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</row>
    <row r="336" ht="22.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</row>
    <row r="337" ht="22.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</row>
    <row r="338" ht="22.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</row>
    <row r="339" ht="22.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</row>
    <row r="340" ht="22.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</row>
    <row r="341" ht="22.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</row>
    <row r="342" ht="22.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</row>
    <row r="343" ht="22.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</row>
    <row r="344" ht="22.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</row>
    <row r="345" ht="22.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</row>
    <row r="346" ht="22.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</row>
    <row r="347" ht="22.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</row>
    <row r="348" ht="22.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</row>
    <row r="349" ht="22.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</row>
    <row r="350" ht="22.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</row>
    <row r="351" ht="22.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</row>
    <row r="352" ht="22.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</row>
    <row r="353" ht="22.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</row>
    <row r="354" ht="22.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</row>
    <row r="355" ht="22.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</row>
    <row r="356" ht="22.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</row>
    <row r="357" ht="22.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</row>
    <row r="358" ht="22.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</row>
    <row r="359" ht="22.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</row>
    <row r="360" ht="22.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</row>
    <row r="361" ht="22.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</row>
    <row r="362" ht="22.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</row>
    <row r="363" ht="22.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</row>
    <row r="364" ht="22.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</row>
    <row r="365" ht="22.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</row>
    <row r="366" ht="22.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</row>
    <row r="367" ht="22.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</row>
    <row r="368" ht="22.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</row>
    <row r="369" ht="22.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</row>
    <row r="370" ht="22.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</row>
    <row r="371" ht="22.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</row>
    <row r="372" ht="22.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</row>
    <row r="373" ht="22.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</row>
    <row r="374" ht="22.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</row>
    <row r="375" ht="22.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</row>
    <row r="376" ht="22.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</row>
    <row r="377" ht="22.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</row>
    <row r="378" ht="22.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</row>
    <row r="379" ht="22.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</row>
    <row r="380" ht="22.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</row>
    <row r="381" ht="22.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</row>
    <row r="382" ht="22.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</row>
    <row r="383" ht="22.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</row>
    <row r="384" ht="22.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</row>
    <row r="385" ht="22.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</row>
    <row r="386" ht="22.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</row>
    <row r="387" ht="22.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</row>
    <row r="388" ht="22.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</row>
    <row r="389" ht="22.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</row>
    <row r="390" ht="22.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</row>
    <row r="391" ht="22.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</row>
    <row r="392" ht="22.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</row>
    <row r="393" ht="22.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</row>
    <row r="394" ht="22.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</row>
    <row r="395" ht="22.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</row>
    <row r="396" ht="22.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</row>
    <row r="397" ht="22.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</row>
    <row r="398" ht="22.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</row>
    <row r="399" ht="22.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</row>
    <row r="400" ht="22.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</row>
    <row r="401" ht="22.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</row>
    <row r="402" ht="22.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</row>
    <row r="403" ht="22.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</row>
    <row r="404" ht="22.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</row>
    <row r="405" ht="22.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</row>
    <row r="406" ht="22.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</row>
    <row r="407" ht="22.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</row>
    <row r="408" ht="22.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</row>
    <row r="409" ht="22.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</row>
    <row r="410" ht="22.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</row>
    <row r="411" ht="22.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</row>
    <row r="412" ht="22.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</row>
    <row r="413" ht="22.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</row>
    <row r="414" ht="22.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</row>
    <row r="415" ht="22.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</row>
    <row r="416" ht="22.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</row>
    <row r="417" ht="22.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</row>
    <row r="418" ht="22.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</row>
    <row r="419" ht="22.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</row>
    <row r="420" ht="22.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</row>
    <row r="421" ht="22.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</row>
    <row r="422" ht="22.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</row>
    <row r="423" ht="22.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</row>
    <row r="424" ht="22.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</row>
    <row r="425" ht="22.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</row>
    <row r="426" ht="22.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</row>
    <row r="427" ht="22.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</row>
    <row r="428" ht="22.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</row>
    <row r="429" ht="22.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</row>
    <row r="430" ht="22.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</row>
    <row r="431" ht="22.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</row>
    <row r="432" ht="22.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</row>
    <row r="433" ht="22.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</row>
    <row r="434" ht="22.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</row>
    <row r="435" ht="22.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</row>
    <row r="436" ht="22.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</row>
    <row r="437" ht="22.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</row>
    <row r="438" ht="22.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</row>
    <row r="439" ht="22.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</row>
    <row r="440" ht="22.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</row>
    <row r="441" ht="22.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</row>
    <row r="442" ht="22.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</row>
    <row r="443" ht="22.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</row>
    <row r="444" ht="22.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</row>
    <row r="445" ht="22.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</row>
    <row r="446" ht="22.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</row>
    <row r="447" ht="22.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</row>
    <row r="448" ht="22.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</row>
    <row r="449" ht="22.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</row>
    <row r="450" ht="22.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</row>
    <row r="451" ht="22.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</row>
    <row r="452" ht="22.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</row>
    <row r="453" ht="22.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</row>
    <row r="454" ht="22.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</row>
    <row r="455" ht="22.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</row>
    <row r="456" ht="22.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</row>
    <row r="457" ht="22.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</row>
    <row r="458" ht="22.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</row>
    <row r="459" ht="22.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</row>
    <row r="460" ht="22.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</row>
    <row r="461" ht="22.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</row>
    <row r="462" ht="22.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</row>
    <row r="463" ht="22.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</row>
    <row r="464" ht="22.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</row>
    <row r="465" ht="22.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</row>
    <row r="466" ht="22.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</row>
    <row r="467" ht="22.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</row>
    <row r="468" ht="22.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</row>
    <row r="469" ht="22.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</row>
    <row r="470" ht="22.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</row>
    <row r="471" ht="22.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</row>
    <row r="472" ht="22.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</row>
    <row r="473" ht="22.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</row>
    <row r="474" ht="22.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</row>
    <row r="475" ht="22.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</row>
    <row r="476" ht="22.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</row>
    <row r="477" ht="22.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</row>
    <row r="478" ht="22.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</row>
    <row r="479" ht="22.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</row>
    <row r="480" ht="22.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</row>
    <row r="481" ht="22.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</row>
    <row r="482" ht="22.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</row>
    <row r="483" ht="22.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</row>
    <row r="484" ht="22.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</row>
    <row r="485" ht="22.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</row>
    <row r="486" ht="22.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</row>
    <row r="487" ht="22.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</row>
    <row r="488" ht="22.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</row>
    <row r="489" ht="22.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</row>
    <row r="490" ht="22.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</row>
    <row r="491" ht="22.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</row>
    <row r="492" ht="22.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</row>
    <row r="493" ht="22.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</row>
    <row r="494" ht="22.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</row>
    <row r="495" ht="22.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</row>
    <row r="496" ht="22.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</row>
    <row r="497" ht="22.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</row>
    <row r="498" ht="22.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</row>
    <row r="499" ht="22.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</row>
    <row r="500" ht="22.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</row>
    <row r="501" ht="22.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</row>
    <row r="502" ht="22.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</row>
    <row r="503" ht="22.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</row>
    <row r="504" ht="22.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</row>
    <row r="505" ht="22.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</row>
    <row r="506" ht="22.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</row>
    <row r="507" ht="22.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</row>
    <row r="508" ht="22.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</row>
    <row r="509" ht="22.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</row>
    <row r="510" ht="22.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</row>
    <row r="511" ht="22.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</row>
    <row r="512" ht="22.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</row>
    <row r="513" ht="22.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</row>
    <row r="514" ht="22.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</row>
    <row r="515" ht="22.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</row>
    <row r="516" ht="22.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</row>
    <row r="517" ht="22.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</row>
    <row r="518" ht="22.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</row>
    <row r="519" ht="22.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</row>
    <row r="520" ht="22.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</row>
    <row r="521" ht="22.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</row>
    <row r="522" ht="22.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</row>
    <row r="523" ht="22.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</row>
    <row r="524" ht="22.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</row>
    <row r="525" ht="22.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</row>
    <row r="526" ht="22.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</row>
    <row r="527" ht="22.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</row>
    <row r="528" ht="22.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</row>
    <row r="529" ht="22.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</row>
    <row r="530" ht="22.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</row>
    <row r="531" ht="22.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</row>
    <row r="532" ht="22.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</row>
    <row r="533" ht="22.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</row>
    <row r="534" ht="22.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</row>
    <row r="535" ht="22.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</row>
    <row r="536" ht="22.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</row>
    <row r="537" ht="22.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</row>
    <row r="538" ht="22.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</row>
    <row r="539" ht="22.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</row>
    <row r="540" ht="22.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</row>
    <row r="541" ht="22.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</row>
    <row r="542" ht="22.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</row>
    <row r="543" ht="22.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</row>
    <row r="544" ht="22.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</row>
    <row r="545" ht="22.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</row>
    <row r="546" ht="22.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</row>
    <row r="547" ht="22.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</row>
    <row r="548" ht="22.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</row>
    <row r="549" ht="22.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</row>
    <row r="550" ht="22.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</row>
    <row r="551" ht="22.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</row>
    <row r="552" ht="22.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</row>
    <row r="553" ht="22.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</row>
    <row r="554" ht="22.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</row>
    <row r="555" ht="22.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</row>
    <row r="556" ht="22.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</row>
    <row r="557" ht="22.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</row>
    <row r="558" ht="22.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</row>
    <row r="559" ht="22.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</row>
    <row r="560" ht="22.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</row>
    <row r="561" ht="22.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</row>
    <row r="562" ht="22.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</row>
    <row r="563" ht="22.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</row>
    <row r="564" ht="22.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</row>
    <row r="565" ht="22.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</row>
    <row r="566" ht="22.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</row>
    <row r="567" ht="22.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</row>
    <row r="568" ht="22.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</row>
    <row r="569" ht="22.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</row>
    <row r="570" ht="22.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</row>
    <row r="571" ht="22.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</row>
    <row r="572" ht="22.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</row>
    <row r="573" ht="22.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</row>
    <row r="574" ht="22.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</row>
    <row r="575" ht="22.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</row>
    <row r="576" ht="22.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</row>
    <row r="577" ht="22.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</row>
    <row r="578" ht="22.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</row>
    <row r="579" ht="22.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</row>
    <row r="580" ht="22.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</row>
    <row r="581" ht="22.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</row>
    <row r="582" ht="22.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</row>
    <row r="583" ht="22.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</row>
    <row r="584" ht="22.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</row>
    <row r="585" ht="22.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</row>
    <row r="586" ht="22.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</row>
    <row r="587" ht="22.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</row>
    <row r="588" ht="22.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</row>
    <row r="589" ht="22.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</row>
    <row r="590" ht="22.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</row>
    <row r="591" ht="22.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</row>
    <row r="592" ht="22.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</row>
    <row r="593" ht="22.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</row>
    <row r="594" ht="22.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</row>
    <row r="595" ht="22.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</row>
    <row r="596" ht="22.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</row>
    <row r="597" ht="22.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</row>
    <row r="598" ht="22.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</row>
    <row r="599" ht="22.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</row>
    <row r="600" ht="22.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</row>
    <row r="601" ht="22.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</row>
    <row r="602" ht="22.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</row>
    <row r="603" ht="22.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</row>
    <row r="604" ht="22.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</row>
    <row r="605" ht="22.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</row>
    <row r="606" ht="22.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</row>
    <row r="607" ht="22.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</row>
    <row r="608" ht="22.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</row>
    <row r="609" ht="22.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</row>
    <row r="610" ht="22.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</row>
    <row r="611" ht="22.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</row>
    <row r="612" ht="22.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</row>
    <row r="613" ht="22.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</row>
    <row r="614" ht="22.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</row>
    <row r="615" ht="22.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</row>
    <row r="616" ht="22.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</row>
    <row r="617" ht="22.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</row>
    <row r="618" ht="22.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</row>
    <row r="619" ht="22.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</row>
    <row r="620" ht="22.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</row>
    <row r="621" ht="22.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</row>
    <row r="622" ht="22.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</row>
    <row r="623" ht="22.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</row>
    <row r="624" ht="22.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</row>
    <row r="625" ht="22.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</row>
    <row r="626" ht="22.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</row>
    <row r="627" ht="22.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</row>
    <row r="628" ht="22.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</row>
    <row r="629" ht="22.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</row>
    <row r="630" ht="22.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</row>
    <row r="631" ht="22.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</row>
    <row r="632" ht="22.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</row>
    <row r="633" ht="22.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</row>
    <row r="634" ht="22.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</row>
    <row r="635" ht="22.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</row>
    <row r="636" ht="22.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</row>
    <row r="637" ht="22.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</row>
    <row r="638" ht="22.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</row>
    <row r="639" ht="22.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</row>
    <row r="640" ht="22.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</row>
    <row r="641" ht="22.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</row>
    <row r="642" ht="22.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</row>
    <row r="643" ht="22.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</row>
    <row r="644" ht="22.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</row>
    <row r="645" ht="22.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</row>
    <row r="646" ht="22.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</row>
    <row r="647" ht="22.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</row>
    <row r="648" ht="22.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</row>
    <row r="649" ht="22.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</row>
    <row r="650" ht="22.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</row>
    <row r="651" ht="22.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</row>
    <row r="652" ht="22.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</row>
    <row r="653" ht="22.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</row>
    <row r="654" ht="22.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</row>
    <row r="655" ht="22.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</row>
    <row r="656" ht="22.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</row>
    <row r="657" ht="22.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</row>
    <row r="658" ht="22.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</row>
    <row r="659" ht="22.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</row>
    <row r="660" ht="22.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</row>
    <row r="661" ht="22.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</row>
    <row r="662" ht="22.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</row>
    <row r="663" ht="22.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</row>
    <row r="664" ht="22.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</row>
    <row r="665" ht="22.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</row>
    <row r="666" ht="22.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</row>
    <row r="667" ht="22.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</row>
    <row r="668" ht="22.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</row>
    <row r="669" ht="22.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</row>
    <row r="670" ht="22.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</row>
    <row r="671" ht="22.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</row>
    <row r="672" ht="22.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</row>
    <row r="673" ht="22.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</row>
    <row r="674" ht="22.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</row>
    <row r="675" ht="22.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</row>
    <row r="676" ht="22.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</row>
    <row r="677" ht="22.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</row>
    <row r="678" ht="22.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</row>
    <row r="679" ht="22.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</row>
    <row r="680" ht="22.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</row>
    <row r="681" ht="22.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</row>
    <row r="682" ht="22.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</row>
    <row r="683" ht="22.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</row>
    <row r="684" ht="22.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</row>
    <row r="685" ht="22.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</row>
    <row r="686" ht="22.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</row>
    <row r="687" ht="22.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</row>
    <row r="688" ht="22.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</row>
    <row r="689" ht="22.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</row>
    <row r="690" ht="22.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</row>
    <row r="691" ht="22.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</row>
    <row r="692" ht="22.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</row>
    <row r="693" ht="22.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</row>
    <row r="694" ht="22.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</row>
    <row r="695" ht="22.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</row>
    <row r="696" ht="22.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</row>
    <row r="697" ht="22.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</row>
    <row r="698" ht="22.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</row>
    <row r="699" ht="22.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</row>
    <row r="700" ht="22.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</row>
    <row r="701" ht="22.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</row>
    <row r="702" ht="22.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</row>
    <row r="703" ht="22.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</row>
    <row r="704" ht="22.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</row>
    <row r="705" ht="22.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</row>
    <row r="706" ht="22.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</row>
    <row r="707" ht="22.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</row>
    <row r="708" ht="22.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</row>
    <row r="709" ht="22.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</row>
    <row r="710" ht="22.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</row>
    <row r="711" ht="22.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</row>
    <row r="712" ht="22.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</row>
    <row r="713" ht="22.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</row>
    <row r="714" ht="22.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</row>
    <row r="715" ht="22.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</row>
    <row r="716" ht="22.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</row>
    <row r="717" ht="22.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</row>
    <row r="718" ht="22.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</row>
    <row r="719" ht="22.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</row>
    <row r="720" ht="22.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</row>
    <row r="721" ht="22.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</row>
    <row r="722" ht="22.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</row>
    <row r="723" ht="22.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</row>
    <row r="724" ht="22.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</row>
    <row r="725" ht="22.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</row>
    <row r="726" ht="22.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</row>
    <row r="727" ht="22.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</row>
    <row r="728" ht="22.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</row>
    <row r="729" ht="22.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</row>
    <row r="730" ht="22.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</row>
    <row r="731" ht="22.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</row>
    <row r="732" ht="22.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</row>
    <row r="733" ht="22.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</row>
    <row r="734" ht="22.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</row>
    <row r="735" ht="22.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</row>
    <row r="736" ht="22.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</row>
    <row r="737" ht="22.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</row>
    <row r="738" ht="22.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</row>
    <row r="739" ht="22.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</row>
    <row r="740" ht="22.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</row>
    <row r="741" ht="22.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</row>
    <row r="742" ht="22.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</row>
    <row r="743" ht="22.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</row>
    <row r="744" ht="22.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</row>
    <row r="745" ht="22.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</row>
    <row r="746" ht="22.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</row>
    <row r="747" ht="22.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</row>
    <row r="748" ht="22.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</row>
    <row r="749" ht="22.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</row>
    <row r="750" ht="22.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</row>
    <row r="751" ht="22.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</row>
    <row r="752" ht="22.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</row>
    <row r="753" ht="22.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</row>
    <row r="754" ht="22.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</row>
    <row r="755" ht="22.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</row>
    <row r="756" ht="22.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</row>
    <row r="757" ht="22.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</row>
    <row r="758" ht="22.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</row>
    <row r="759" ht="22.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</row>
    <row r="760" ht="22.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</row>
    <row r="761" ht="22.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</row>
    <row r="762" ht="22.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</row>
    <row r="763" ht="22.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</row>
    <row r="764" ht="22.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</row>
    <row r="765" ht="22.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</row>
    <row r="766" ht="22.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</row>
    <row r="767" ht="22.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</row>
    <row r="768" ht="22.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</row>
    <row r="769" ht="22.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</row>
    <row r="770" ht="22.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</row>
    <row r="771" ht="22.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</row>
    <row r="772" ht="22.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</row>
    <row r="773" ht="22.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</row>
    <row r="774" ht="22.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</row>
    <row r="775" ht="22.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</row>
    <row r="776" ht="22.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</row>
    <row r="777" ht="22.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</row>
    <row r="778" ht="22.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</row>
    <row r="779" ht="22.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</row>
    <row r="780" ht="22.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</row>
    <row r="781" ht="22.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</row>
    <row r="782" ht="22.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</row>
    <row r="783" ht="22.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</row>
    <row r="784" ht="22.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</row>
    <row r="785" ht="22.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</row>
    <row r="786" ht="22.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</row>
    <row r="787" ht="22.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</row>
    <row r="788" ht="22.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</row>
    <row r="789" ht="22.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</row>
    <row r="790" ht="22.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</row>
    <row r="791" ht="22.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</row>
    <row r="792" ht="22.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</row>
    <row r="793" ht="22.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</row>
    <row r="794" ht="22.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</row>
    <row r="795" ht="22.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</row>
    <row r="796" ht="22.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</row>
    <row r="797" ht="22.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</row>
    <row r="798" ht="22.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</row>
    <row r="799" ht="22.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</row>
    <row r="800" ht="22.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</row>
    <row r="801" ht="22.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</row>
    <row r="802" ht="22.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</row>
    <row r="803" ht="22.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</row>
    <row r="804" ht="22.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</row>
    <row r="805" ht="22.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</row>
    <row r="806" ht="22.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</row>
    <row r="807" ht="22.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</row>
    <row r="808" ht="22.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</row>
    <row r="809" ht="22.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</row>
    <row r="810" ht="22.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</row>
    <row r="811" ht="22.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</row>
    <row r="812" ht="22.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</row>
    <row r="813" ht="22.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</row>
    <row r="814" ht="22.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</row>
    <row r="815" ht="22.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</row>
    <row r="816" ht="22.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</row>
    <row r="817" ht="22.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</row>
    <row r="818" ht="22.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</row>
    <row r="819" ht="22.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</row>
    <row r="820" ht="22.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</row>
    <row r="821" ht="22.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</row>
    <row r="822" ht="22.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</row>
    <row r="823" ht="22.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</row>
    <row r="824" ht="22.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</row>
    <row r="825" ht="22.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</row>
    <row r="826" ht="22.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</row>
    <row r="827" ht="22.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</row>
    <row r="828" ht="22.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</row>
    <row r="829" ht="22.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</row>
    <row r="830" ht="22.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</row>
    <row r="831" ht="22.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</row>
    <row r="832" ht="22.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</row>
    <row r="833" ht="22.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</row>
    <row r="834" ht="22.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</row>
    <row r="835" ht="22.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</row>
    <row r="836" ht="22.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</row>
    <row r="837" ht="22.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</row>
    <row r="838" ht="22.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</row>
    <row r="839" ht="22.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</row>
    <row r="840" ht="22.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</row>
    <row r="841" ht="22.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</row>
    <row r="842" ht="22.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</row>
    <row r="843" ht="22.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</row>
    <row r="844" ht="22.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</row>
    <row r="845" ht="22.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</row>
    <row r="846" ht="22.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</row>
    <row r="847" ht="22.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</row>
    <row r="848" ht="22.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</row>
    <row r="849" ht="22.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</row>
    <row r="850" ht="22.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</row>
    <row r="851" ht="22.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</row>
    <row r="852" ht="22.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</row>
    <row r="853" ht="22.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</row>
    <row r="854" ht="22.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</row>
    <row r="855" ht="22.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</row>
    <row r="856" ht="22.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</row>
    <row r="857" ht="22.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</row>
    <row r="858" ht="22.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</row>
    <row r="859" ht="22.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</row>
    <row r="860" ht="22.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</row>
    <row r="861" ht="22.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</row>
    <row r="862" ht="22.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</row>
    <row r="863" ht="22.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</row>
    <row r="864" ht="22.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</row>
    <row r="865" ht="22.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</row>
    <row r="866" ht="22.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</row>
    <row r="867" ht="22.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</row>
    <row r="868" ht="22.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</row>
    <row r="869" ht="22.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</row>
    <row r="870" ht="22.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</row>
    <row r="871" ht="22.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</row>
    <row r="872" ht="22.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</row>
    <row r="873" ht="22.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</row>
    <row r="874" ht="22.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</row>
    <row r="875" ht="22.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</row>
    <row r="876" ht="22.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</row>
    <row r="877" ht="22.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</row>
    <row r="878" ht="22.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</row>
    <row r="879" ht="22.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</row>
    <row r="880" ht="22.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</row>
    <row r="881" ht="22.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</row>
    <row r="882" ht="22.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</row>
    <row r="883" ht="22.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</row>
    <row r="884" ht="22.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</row>
    <row r="885" ht="22.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</row>
    <row r="886" ht="22.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</row>
    <row r="887" ht="22.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</row>
    <row r="888" ht="22.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</row>
    <row r="889" ht="22.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</row>
    <row r="890" ht="22.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</row>
    <row r="891" ht="22.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</row>
    <row r="892" ht="22.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</row>
    <row r="893" ht="22.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</row>
    <row r="894" ht="22.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</row>
    <row r="895" ht="22.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</row>
    <row r="896" ht="22.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</row>
    <row r="897" ht="22.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</row>
    <row r="898" ht="22.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</row>
    <row r="899" ht="22.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</row>
    <row r="900" ht="22.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</row>
    <row r="901" ht="22.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</row>
    <row r="902" ht="22.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</row>
    <row r="903" ht="22.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</row>
    <row r="904" ht="22.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</row>
    <row r="905" ht="22.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</row>
    <row r="906" ht="22.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</row>
    <row r="907" ht="22.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</row>
    <row r="908" ht="22.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</row>
    <row r="909" ht="22.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</row>
    <row r="910" ht="22.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</row>
    <row r="911" ht="22.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</row>
    <row r="912" ht="22.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</row>
    <row r="913" ht="22.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</row>
    <row r="914" ht="22.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</row>
    <row r="915" ht="22.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</row>
    <row r="916" ht="22.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</row>
    <row r="917" ht="22.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</row>
    <row r="918" ht="22.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</row>
    <row r="919" ht="22.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</row>
    <row r="920" ht="22.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</row>
    <row r="921" ht="22.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</row>
    <row r="922" ht="22.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</row>
    <row r="923" ht="22.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</row>
    <row r="924" ht="22.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</row>
    <row r="925" ht="22.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</row>
    <row r="926" ht="22.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</row>
    <row r="927" ht="22.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</row>
    <row r="928" ht="22.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</row>
    <row r="929" ht="22.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</row>
    <row r="930" ht="22.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</row>
    <row r="931" ht="22.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</row>
    <row r="932" ht="22.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</row>
    <row r="933" ht="22.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</row>
    <row r="934" ht="22.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</row>
    <row r="935" ht="22.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</row>
    <row r="936" ht="22.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</row>
    <row r="937" ht="22.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</row>
    <row r="938" ht="22.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</row>
    <row r="939" ht="22.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</row>
    <row r="940" ht="22.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</row>
    <row r="941" ht="22.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</row>
    <row r="942" ht="22.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</row>
    <row r="943" ht="22.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</row>
    <row r="944" ht="22.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</row>
    <row r="945" ht="22.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</row>
    <row r="946" ht="22.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</row>
    <row r="947" ht="22.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</row>
    <row r="948" ht="22.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</row>
    <row r="949" ht="22.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</row>
    <row r="950" ht="22.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</row>
    <row r="951" ht="22.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</row>
    <row r="952" ht="22.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</row>
    <row r="953" ht="22.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</row>
    <row r="954" ht="22.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</row>
    <row r="955" ht="22.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</row>
    <row r="956" ht="22.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</row>
    <row r="957" ht="22.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</row>
    <row r="958" ht="22.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</row>
    <row r="959" ht="22.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</row>
    <row r="960" ht="22.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</row>
    <row r="961" ht="22.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</row>
    <row r="962" ht="22.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</row>
    <row r="963" ht="22.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</row>
    <row r="964" ht="22.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</row>
    <row r="965" ht="22.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</row>
    <row r="966" ht="22.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</row>
    <row r="967" ht="22.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</row>
    <row r="968" ht="22.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</row>
    <row r="969" ht="22.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</row>
    <row r="970" ht="22.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</row>
    <row r="971" ht="22.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</row>
    <row r="972" ht="22.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</row>
    <row r="973" ht="22.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</row>
    <row r="974" ht="22.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</row>
    <row r="975" ht="22.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</row>
    <row r="976" ht="22.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</row>
    <row r="977" ht="22.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</row>
    <row r="978" ht="22.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</row>
    <row r="979" ht="22.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</row>
    <row r="980" ht="22.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</row>
    <row r="981" ht="22.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</row>
    <row r="982" ht="22.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</row>
    <row r="983" ht="22.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</row>
    <row r="984" ht="22.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</row>
    <row r="985" ht="22.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</row>
    <row r="986" ht="22.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</row>
    <row r="987" ht="22.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</row>
    <row r="988" ht="22.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</row>
    <row r="989" ht="22.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</row>
    <row r="990" ht="22.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</row>
    <row r="991" ht="22.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</row>
    <row r="992" ht="22.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</row>
    <row r="993" ht="22.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</row>
    <row r="994" ht="22.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</row>
    <row r="995" ht="22.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</row>
    <row r="996" ht="22.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</row>
    <row r="997" ht="22.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</row>
    <row r="998" ht="22.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</row>
    <row r="999" ht="22.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</row>
    <row r="1000" ht="22.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3.5"/>
    <col customWidth="1" min="3" max="3" width="16.0"/>
    <col customWidth="1" min="4" max="4" width="14.75"/>
  </cols>
  <sheetData>
    <row r="1" ht="22.5" customHeight="1">
      <c r="A1" s="1" t="s">
        <v>15</v>
      </c>
      <c r="B1" s="1" t="s">
        <v>16</v>
      </c>
      <c r="C1" s="1" t="s">
        <v>179</v>
      </c>
      <c r="D1" s="1" t="s">
        <v>19</v>
      </c>
    </row>
    <row r="2" ht="22.5" customHeight="1">
      <c r="A2" s="26" t="s">
        <v>2</v>
      </c>
      <c r="B2" s="31">
        <f>SUMIF(TODO[Qui], A2, TODO[Estimation])</f>
        <v>369</v>
      </c>
      <c r="C2" s="25">
        <f>SUMIF(TODO[Qui], A2, TODO[Temps passes])</f>
        <v>401</v>
      </c>
      <c r="D2" s="25">
        <f>IFERROR(C2 /(C2 + SUMIF(TODO[Qui], A2, TODO[Reste a faire])),0)*100
</f>
        <v>100</v>
      </c>
    </row>
    <row r="3" ht="22.5" customHeight="1">
      <c r="A3" s="26" t="s">
        <v>4</v>
      </c>
      <c r="B3" s="31">
        <f>SUMIF(TODO[Qui], A3, TODO[Estimation])</f>
        <v>323</v>
      </c>
      <c r="C3" s="25">
        <f>SUMIF(TODO[Qui], A3, TODO[Temps passes])</f>
        <v>390</v>
      </c>
      <c r="D3" s="25">
        <f>IFERROR(C3 /(C3 + SUMIF(TODO[Qui], A3, TODO[Reste a faire])),0)*100
</f>
        <v>100</v>
      </c>
    </row>
    <row r="4" ht="22.5" customHeight="1">
      <c r="A4" s="26" t="s">
        <v>6</v>
      </c>
      <c r="B4" s="31">
        <f>SUMIF(TODO[Qui], A4, TODO[Estimation])</f>
        <v>341</v>
      </c>
      <c r="C4" s="25">
        <f>SUMIF(TODO[Qui], A4, TODO[Temps passes])</f>
        <v>391</v>
      </c>
      <c r="D4" s="25">
        <f>IFERROR(C4 /(C4 + SUMIF(TODO[Qui], A4, TODO[Reste a faire])),0)*100
</f>
        <v>100</v>
      </c>
    </row>
    <row r="5" ht="22.5" customHeight="1">
      <c r="A5" s="26" t="s">
        <v>8</v>
      </c>
      <c r="B5" s="31">
        <f>SUMIF(TODO[Qui], A5, TODO[Estimation])</f>
        <v>327</v>
      </c>
      <c r="C5" s="25">
        <f>SUMIF(TODO[Qui], A5, TODO[Temps passes])</f>
        <v>381</v>
      </c>
      <c r="D5" s="25">
        <f>IFERROR(C5 /(C5 + SUMIF(TODO[Qui], A5, TODO[Reste a faire])),0)*100
</f>
        <v>100</v>
      </c>
    </row>
    <row r="7">
      <c r="A7" s="28" t="s">
        <v>168</v>
      </c>
      <c r="B7" s="32">
        <f>sum(Recapitulation[Estimation])</f>
        <v>1360</v>
      </c>
      <c r="C7" s="33">
        <f>SUM(Recapitulation[Temps passer])</f>
        <v>1563</v>
      </c>
      <c r="D7" s="33">
        <f>SUM(Recapitulation[Avancement])/4</f>
        <v>100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0.13"/>
    <col customWidth="1" min="3" max="3" width="18.88"/>
    <col customWidth="1" min="4" max="4" width="14.75"/>
    <col customWidth="1" min="5" max="5" width="15.75"/>
  </cols>
  <sheetData>
    <row r="1" ht="22.5" customHeight="1">
      <c r="A1" s="1" t="s">
        <v>180</v>
      </c>
      <c r="B1" s="1" t="s">
        <v>181</v>
      </c>
      <c r="C1" s="1" t="s">
        <v>182</v>
      </c>
      <c r="D1" s="1" t="s">
        <v>19</v>
      </c>
      <c r="E1" s="1" t="s">
        <v>183</v>
      </c>
    </row>
    <row r="2" ht="22.5" customHeight="1">
      <c r="A2" s="34">
        <f>SUM(TODO[Estimation])
</f>
        <v>1360</v>
      </c>
      <c r="B2" s="34">
        <f>SUM(TODO[Temps passes])
</f>
        <v>1563</v>
      </c>
      <c r="C2" s="35">
        <f>SUM(TODO[Reste a faire])
</f>
        <v>0</v>
      </c>
      <c r="D2" s="36">
        <f>(B2/(B2+C2))</f>
        <v>1</v>
      </c>
      <c r="E2" s="37">
        <f>((B2+C2)-A2)/A2</f>
        <v>0.1492647059</v>
      </c>
    </row>
    <row r="4">
      <c r="C4" s="38">
        <f>C2/60</f>
        <v>0</v>
      </c>
      <c r="D4" s="39" t="s">
        <v>184</v>
      </c>
    </row>
  </sheetData>
  <drawing r:id="rId1"/>
  <tableParts count="1">
    <tablePart r:id="rId3"/>
  </tableParts>
</worksheet>
</file>